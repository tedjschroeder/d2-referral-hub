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_SNA" sheetId="2" state="visible" r:id="rId2"/>
    <sheet name="Revenue_Build" sheetId="3" state="visible" r:id="rId3"/>
    <sheet name="Financials" sheetId="4" state="visible" r:id="rId4"/>
    <sheet name="Dashboard" sheetId="5" state="visible" r:id="rId5"/>
    <sheet name="SNA_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/dd/yyyy"/>
    <numFmt numFmtId="166" formatCode="0.0%"/>
    <numFmt numFmtId="167" formatCode="$#,##0"/>
    <numFmt numFmtId="168" formatCode="MMM-YY"/>
    <numFmt numFmtId="169" formatCode="$#,##0.0"/>
  </numFmts>
  <fonts count="11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0"/>
    </font>
    <font>
      <name val="Calibri"/>
      <b val="1"/>
      <sz val="10"/>
    </font>
    <font>
      <color rgb="000563C1"/>
      <u val="single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color rgb="00000000"/>
      <sz val="10"/>
    </font>
    <font>
      <b val="1"/>
    </font>
    <font>
      <name val="Calibri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9" fontId="7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9" fontId="8" fillId="0" borderId="0" pivotButton="0" quotePrefix="0" xfId="0"/>
    <xf numFmtId="168" fontId="6" fillId="2" borderId="0" applyAlignment="1" pivotButton="0" quotePrefix="0" xfId="0">
      <alignment horizontal="center"/>
    </xf>
    <xf numFmtId="3" fontId="7" fillId="0" borderId="0" pivotButton="0" quotePrefix="0" xfId="0"/>
    <xf numFmtId="3" fontId="8" fillId="0" borderId="0" pivotButton="0" quotePrefix="0" xfId="0"/>
    <xf numFmtId="167" fontId="0" fillId="0" borderId="0" pivotButton="0" quotePrefix="0" xfId="0"/>
    <xf numFmtId="167" fontId="9" fillId="0" borderId="1" pivotButton="0" quotePrefix="0" xfId="0"/>
    <xf numFmtId="167" fontId="10" fillId="0" borderId="0" pivotButton="0" quotePrefix="0" xfId="0"/>
    <xf numFmtId="167" fontId="3" fillId="0" borderId="2" pivotButton="0" quotePrefix="0" xfId="0"/>
    <xf numFmtId="166" fontId="10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pivotButton="0" quotePrefix="0" xfId="0"/>
    <xf numFmtId="169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2">
      <c r="B2" s="1" t="inlineStr">
        <is>
          <t>SAAS FINANCIAL MODEL - INSTITUTIONAL GRADE</t>
        </is>
      </c>
    </row>
    <row r="4">
      <c r="B4" s="2" t="inlineStr">
        <is>
          <t>Proprietary &amp; Confidential - Prepared for Review</t>
        </is>
      </c>
    </row>
    <row r="6">
      <c r="B6" t="inlineStr">
        <is>
          <t>DATE:</t>
        </is>
      </c>
      <c r="C6" t="inlineStr">
        <is>
          <t>March 26, 2026</t>
        </is>
      </c>
    </row>
    <row r="7">
      <c r="B7" t="inlineStr">
        <is>
          <t>VERSION:</t>
        </is>
      </c>
      <c r="C7" t="inlineStr">
        <is>
          <t>1.0 - Goldman Sachs Associate Build</t>
        </is>
      </c>
    </row>
    <row r="9">
      <c r="B9" s="3" t="inlineStr">
        <is>
          <t>TABLE OF CONTENTS</t>
        </is>
      </c>
    </row>
    <row r="11">
      <c r="B11" s="4" t="inlineStr">
        <is>
          <t>Dashboard</t>
        </is>
      </c>
      <c r="C11" t="inlineStr">
        <is>
          <t>Executive KPIs &amp; Performance Metrics</t>
        </is>
      </c>
    </row>
    <row r="12">
      <c r="B12" s="4" t="inlineStr">
        <is>
          <t>Assumptions_SNA</t>
        </is>
      </c>
      <c r="C12" t="inlineStr">
        <is>
          <t>Scenario Toggle &amp; Global Inputs</t>
        </is>
      </c>
    </row>
    <row r="13">
      <c r="B13" s="4" t="inlineStr">
        <is>
          <t>Revenue_Build</t>
        </is>
      </c>
      <c r="C13" t="inlineStr">
        <is>
          <t>Bottom-up Sales Funnel &amp; MRR Build</t>
        </is>
      </c>
    </row>
    <row r="14">
      <c r="B14" s="4" t="inlineStr">
        <is>
          <t>Operating_Expenses</t>
        </is>
      </c>
      <c r="C14" t="inlineStr">
        <is>
          <t>Departmental OPEX &amp; Headcount</t>
        </is>
      </c>
    </row>
    <row r="15">
      <c r="B15" s="4" t="inlineStr">
        <is>
          <t>Financials</t>
        </is>
      </c>
      <c r="C15" t="inlineStr">
        <is>
          <t>3-Statement Integrated Financials</t>
        </is>
      </c>
    </row>
    <row r="16">
      <c r="B16" s="4" t="inlineStr">
        <is>
          <t>SNA_Outputs</t>
        </is>
      </c>
      <c r="C16" t="inlineStr">
        <is>
          <t>Scenario &amp; Sensitivity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10" customHeight="1"/>
    <row r="2">
      <c r="B2" s="5" t="inlineStr">
        <is>
          <t>SCENARIO TOGGLE</t>
        </is>
      </c>
    </row>
    <row r="3">
      <c r="B3" s="6" t="n"/>
      <c r="C3" s="6" t="n"/>
      <c r="D3" s="6" t="n"/>
      <c r="E3" s="6" t="n"/>
    </row>
    <row r="4">
      <c r="B4" t="inlineStr">
        <is>
          <t>Active Scenario (1=Base, 2=Bull, 3=Bear)</t>
        </is>
      </c>
      <c r="C4" s="7" t="n">
        <v>1</v>
      </c>
    </row>
    <row r="6">
      <c r="B6" s="3" t="inlineStr">
        <is>
          <t>GLOBAL ASSUMPTIONS</t>
        </is>
      </c>
    </row>
    <row r="7">
      <c r="B7" t="inlineStr">
        <is>
          <t>Model Start Date</t>
        </is>
      </c>
      <c r="C7" s="8" t="n">
        <v>46023</v>
      </c>
    </row>
    <row r="9">
      <c r="B9" s="5" t="inlineStr">
        <is>
          <t>OPERATIONAL DRIVERS BY SCENARIO</t>
        </is>
      </c>
    </row>
    <row r="10">
      <c r="B10" s="6" t="n"/>
      <c r="C10" s="6" t="inlineStr">
        <is>
          <t>Base</t>
        </is>
      </c>
      <c r="D10" s="6" t="inlineStr">
        <is>
          <t>Bull</t>
        </is>
      </c>
      <c r="E10" s="6" t="inlineStr">
        <is>
          <t>Bear</t>
        </is>
      </c>
    </row>
    <row r="11">
      <c r="B11" t="inlineStr">
        <is>
          <t>Lead Growth Rate (MoM %)</t>
        </is>
      </c>
      <c r="C11" s="9" t="n">
        <v>0.05</v>
      </c>
      <c r="D11" s="9" t="n">
        <v>0.08</v>
      </c>
      <c r="E11" s="9" t="n">
        <v>0.02</v>
      </c>
    </row>
    <row r="12">
      <c r="B12" t="inlineStr">
        <is>
          <t>Churn Rate (MoM %)</t>
        </is>
      </c>
      <c r="C12" s="9" t="n">
        <v>0.02</v>
      </c>
      <c r="D12" s="9" t="n">
        <v>0.01</v>
      </c>
      <c r="E12" s="9" t="n">
        <v>0.04</v>
      </c>
    </row>
    <row r="13">
      <c r="B13" t="inlineStr">
        <is>
          <t>Expansion Rate (MoM %)</t>
        </is>
      </c>
      <c r="C13" s="9" t="n">
        <v>0.01</v>
      </c>
      <c r="D13" s="9" t="n">
        <v>0.03</v>
      </c>
      <c r="E13" s="9" t="n">
        <v>0.005</v>
      </c>
    </row>
    <row r="14">
      <c r="B14" t="inlineStr">
        <is>
          <t>Avg Revenue Per User (ARPU)</t>
        </is>
      </c>
      <c r="C14" s="10" t="n">
        <v>1500</v>
      </c>
      <c r="D14" s="10" t="n">
        <v>2000</v>
      </c>
      <c r="E14" s="10" t="n">
        <v>1000</v>
      </c>
    </row>
    <row r="15">
      <c r="B15" t="inlineStr">
        <is>
          <t>Sales Commission (%)</t>
        </is>
      </c>
      <c r="C15" s="11" t="n">
        <v>0.1</v>
      </c>
      <c r="D15" s="11" t="n">
        <v>0.1</v>
      </c>
      <c r="E15" s="11" t="n">
        <v>0.1</v>
      </c>
    </row>
    <row r="16">
      <c r="B16" t="inlineStr">
        <is>
          <t>Server Cost per User</t>
        </is>
      </c>
      <c r="C16" s="10" t="n">
        <v>50</v>
      </c>
      <c r="D16" s="10" t="n">
        <v>40</v>
      </c>
      <c r="E16" s="10" t="n">
        <v>60</v>
      </c>
    </row>
    <row r="20">
      <c r="B20" s="3" t="inlineStr">
        <is>
          <t>ACTIVE DRIVER SELECTION</t>
        </is>
      </c>
    </row>
    <row r="21">
      <c r="B21" t="inlineStr">
        <is>
          <t>Lead Growth Rate (MoM %)</t>
        </is>
      </c>
      <c r="C21" s="12">
        <f>INDEX($C$11:$E$11, $C$4)</f>
        <v/>
      </c>
    </row>
    <row r="22">
      <c r="B22" t="inlineStr">
        <is>
          <t>Churn Rate (MoM %)</t>
        </is>
      </c>
      <c r="C22" s="12">
        <f>INDEX($C$12:$E$12, $C$4)</f>
        <v/>
      </c>
    </row>
    <row r="23">
      <c r="B23" t="inlineStr">
        <is>
          <t>Expansion Rate (MoM %)</t>
        </is>
      </c>
      <c r="C23" s="12">
        <f>INDEX($C$13:$E$13, $C$4)</f>
        <v/>
      </c>
    </row>
    <row r="24">
      <c r="B24" t="inlineStr">
        <is>
          <t>Avg Revenue Per User (ARPU)</t>
        </is>
      </c>
      <c r="C24" s="13">
        <f>INDEX($C$14:$E$14, $C$4)</f>
        <v/>
      </c>
    </row>
    <row r="25">
      <c r="B25" t="inlineStr">
        <is>
          <t>Sales Commission (%)</t>
        </is>
      </c>
      <c r="C25" s="14">
        <f>INDEX($C$15:$E$15, $C$4)</f>
        <v/>
      </c>
    </row>
    <row r="26">
      <c r="B26" t="inlineStr">
        <is>
          <t>Server Cost per User</t>
        </is>
      </c>
      <c r="C26" s="13">
        <f>INDEX($C$16:$E$16, $C$4)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J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10" customHeight="1"/>
    <row r="2">
      <c r="B2" s="5" t="inlineStr">
        <is>
          <t>REVENUE BUILD - MONTHLY PERFORMANCE</t>
        </is>
      </c>
    </row>
    <row r="3">
      <c r="B3" s="6" t="n"/>
      <c r="C3" s="15">
        <f>EDATE(Assumptions_SNA!$C$7, 0)</f>
        <v/>
      </c>
      <c r="D3" s="15">
        <f>EDATE(Assumptions_SNA!$C$7, 1)</f>
        <v/>
      </c>
      <c r="E3" s="15">
        <f>EDATE(Assumptions_SNA!$C$7, 2)</f>
        <v/>
      </c>
      <c r="F3" s="15">
        <f>EDATE(Assumptions_SNA!$C$7, 3)</f>
        <v/>
      </c>
      <c r="G3" s="15">
        <f>EDATE(Assumptions_SNA!$C$7, 4)</f>
        <v/>
      </c>
      <c r="H3" s="15">
        <f>EDATE(Assumptions_SNA!$C$7, 5)</f>
        <v/>
      </c>
      <c r="I3" s="15">
        <f>EDATE(Assumptions_SNA!$C$7, 6)</f>
        <v/>
      </c>
      <c r="J3" s="15">
        <f>EDATE(Assumptions_SNA!$C$7, 7)</f>
        <v/>
      </c>
      <c r="K3" s="15">
        <f>EDATE(Assumptions_SNA!$C$7, 8)</f>
        <v/>
      </c>
      <c r="L3" s="15">
        <f>EDATE(Assumptions_SNA!$C$7, 9)</f>
        <v/>
      </c>
      <c r="M3" s="15">
        <f>EDATE(Assumptions_SNA!$C$7, 10)</f>
        <v/>
      </c>
      <c r="N3" s="15">
        <f>EDATE(Assumptions_SNA!$C$7, 11)</f>
        <v/>
      </c>
      <c r="O3" s="15">
        <f>EDATE(Assumptions_SNA!$C$7, 12)</f>
        <v/>
      </c>
      <c r="P3" s="15">
        <f>EDATE(Assumptions_SNA!$C$7, 13)</f>
        <v/>
      </c>
      <c r="Q3" s="15">
        <f>EDATE(Assumptions_SNA!$C$7, 14)</f>
        <v/>
      </c>
      <c r="R3" s="15">
        <f>EDATE(Assumptions_SNA!$C$7, 15)</f>
        <v/>
      </c>
      <c r="S3" s="15">
        <f>EDATE(Assumptions_SNA!$C$7, 16)</f>
        <v/>
      </c>
      <c r="T3" s="15">
        <f>EDATE(Assumptions_SNA!$C$7, 17)</f>
        <v/>
      </c>
      <c r="U3" s="15">
        <f>EDATE(Assumptions_SNA!$C$7, 18)</f>
        <v/>
      </c>
      <c r="V3" s="15">
        <f>EDATE(Assumptions_SNA!$C$7, 19)</f>
        <v/>
      </c>
      <c r="W3" s="15">
        <f>EDATE(Assumptions_SNA!$C$7, 20)</f>
        <v/>
      </c>
      <c r="X3" s="15">
        <f>EDATE(Assumptions_SNA!$C$7, 21)</f>
        <v/>
      </c>
      <c r="Y3" s="15">
        <f>EDATE(Assumptions_SNA!$C$7, 22)</f>
        <v/>
      </c>
      <c r="Z3" s="15">
        <f>EDATE(Assumptions_SNA!$C$7, 23)</f>
        <v/>
      </c>
      <c r="AA3" s="15">
        <f>EDATE(Assumptions_SNA!$C$7, 24)</f>
        <v/>
      </c>
      <c r="AB3" s="15">
        <f>EDATE(Assumptions_SNA!$C$7, 25)</f>
        <v/>
      </c>
      <c r="AC3" s="15">
        <f>EDATE(Assumptions_SNA!$C$7, 26)</f>
        <v/>
      </c>
      <c r="AD3" s="15">
        <f>EDATE(Assumptions_SNA!$C$7, 27)</f>
        <v/>
      </c>
      <c r="AE3" s="15">
        <f>EDATE(Assumptions_SNA!$C$7, 28)</f>
        <v/>
      </c>
      <c r="AF3" s="15">
        <f>EDATE(Assumptions_SNA!$C$7, 29)</f>
        <v/>
      </c>
      <c r="AG3" s="15">
        <f>EDATE(Assumptions_SNA!$C$7, 30)</f>
        <v/>
      </c>
      <c r="AH3" s="15">
        <f>EDATE(Assumptions_SNA!$C$7, 31)</f>
        <v/>
      </c>
      <c r="AI3" s="15">
        <f>EDATE(Assumptions_SNA!$C$7, 32)</f>
        <v/>
      </c>
      <c r="AJ3" s="15">
        <f>EDATE(Assumptions_SNA!$C$7, 33)</f>
        <v/>
      </c>
      <c r="AK3" s="15">
        <f>EDATE(Assumptions_SNA!$C$7, 34)</f>
        <v/>
      </c>
      <c r="AL3" s="15">
        <f>EDATE(Assumptions_SNA!$C$7, 35)</f>
        <v/>
      </c>
      <c r="AM3" s="15">
        <f>EDATE(Assumptions_SNA!$C$7, 36)</f>
        <v/>
      </c>
      <c r="AN3" s="15">
        <f>EDATE(Assumptions_SNA!$C$7, 37)</f>
        <v/>
      </c>
      <c r="AO3" s="15">
        <f>EDATE(Assumptions_SNA!$C$7, 38)</f>
        <v/>
      </c>
      <c r="AP3" s="15">
        <f>EDATE(Assumptions_SNA!$C$7, 39)</f>
        <v/>
      </c>
      <c r="AQ3" s="15">
        <f>EDATE(Assumptions_SNA!$C$7, 40)</f>
        <v/>
      </c>
      <c r="AR3" s="15">
        <f>EDATE(Assumptions_SNA!$C$7, 41)</f>
        <v/>
      </c>
      <c r="AS3" s="15">
        <f>EDATE(Assumptions_SNA!$C$7, 42)</f>
        <v/>
      </c>
      <c r="AT3" s="15">
        <f>EDATE(Assumptions_SNA!$C$7, 43)</f>
        <v/>
      </c>
      <c r="AU3" s="15">
        <f>EDATE(Assumptions_SNA!$C$7, 44)</f>
        <v/>
      </c>
      <c r="AV3" s="15">
        <f>EDATE(Assumptions_SNA!$C$7, 45)</f>
        <v/>
      </c>
      <c r="AW3" s="15">
        <f>EDATE(Assumptions_SNA!$C$7, 46)</f>
        <v/>
      </c>
      <c r="AX3" s="15">
        <f>EDATE(Assumptions_SNA!$C$7, 47)</f>
        <v/>
      </c>
      <c r="AY3" s="15">
        <f>EDATE(Assumptions_SNA!$C$7, 48)</f>
        <v/>
      </c>
      <c r="AZ3" s="15">
        <f>EDATE(Assumptions_SNA!$C$7, 49)</f>
        <v/>
      </c>
      <c r="BA3" s="15">
        <f>EDATE(Assumptions_SNA!$C$7, 50)</f>
        <v/>
      </c>
      <c r="BB3" s="15">
        <f>EDATE(Assumptions_SNA!$C$7, 51)</f>
        <v/>
      </c>
      <c r="BC3" s="15">
        <f>EDATE(Assumptions_SNA!$C$7, 52)</f>
        <v/>
      </c>
      <c r="BD3" s="15">
        <f>EDATE(Assumptions_SNA!$C$7, 53)</f>
        <v/>
      </c>
      <c r="BE3" s="15">
        <f>EDATE(Assumptions_SNA!$C$7, 54)</f>
        <v/>
      </c>
      <c r="BF3" s="15">
        <f>EDATE(Assumptions_SNA!$C$7, 55)</f>
        <v/>
      </c>
      <c r="BG3" s="15">
        <f>EDATE(Assumptions_SNA!$C$7, 56)</f>
        <v/>
      </c>
      <c r="BH3" s="15">
        <f>EDATE(Assumptions_SNA!$C$7, 57)</f>
        <v/>
      </c>
      <c r="BI3" s="15">
        <f>EDATE(Assumptions_SNA!$C$7, 58)</f>
        <v/>
      </c>
      <c r="BJ3" s="15">
        <f>EDATE(Assumptions_SNA!$C$7, 59)</f>
        <v/>
      </c>
    </row>
    <row r="5">
      <c r="B5" s="3" t="inlineStr">
        <is>
          <t>SALES FUNNEL</t>
        </is>
      </c>
    </row>
    <row r="6">
      <c r="B6" t="inlineStr">
        <is>
          <t>Target Leads</t>
        </is>
      </c>
      <c r="C6" s="16" t="n">
        <v>5000</v>
      </c>
      <c r="D6" s="17">
        <f>C6*(1+Assumptions_SNA!$C$21)</f>
        <v/>
      </c>
      <c r="E6" s="17">
        <f>D6*(1+Assumptions_SNA!$C$21)</f>
        <v/>
      </c>
      <c r="F6" s="17">
        <f>E6*(1+Assumptions_SNA!$C$21)</f>
        <v/>
      </c>
      <c r="G6" s="17">
        <f>F6*(1+Assumptions_SNA!$C$21)</f>
        <v/>
      </c>
      <c r="H6" s="17">
        <f>G6*(1+Assumptions_SNA!$C$21)</f>
        <v/>
      </c>
      <c r="I6" s="17">
        <f>H6*(1+Assumptions_SNA!$C$21)</f>
        <v/>
      </c>
      <c r="J6" s="17">
        <f>I6*(1+Assumptions_SNA!$C$21)</f>
        <v/>
      </c>
      <c r="K6" s="17">
        <f>J6*(1+Assumptions_SNA!$C$21)</f>
        <v/>
      </c>
      <c r="L6" s="17">
        <f>K6*(1+Assumptions_SNA!$C$21)</f>
        <v/>
      </c>
      <c r="M6" s="17">
        <f>L6*(1+Assumptions_SNA!$C$21)</f>
        <v/>
      </c>
      <c r="N6" s="17">
        <f>M6*(1+Assumptions_SNA!$C$21)</f>
        <v/>
      </c>
      <c r="O6" s="17">
        <f>N6*(1+Assumptions_SNA!$C$21)</f>
        <v/>
      </c>
      <c r="P6" s="17">
        <f>O6*(1+Assumptions_SNA!$C$21)</f>
        <v/>
      </c>
      <c r="Q6" s="17">
        <f>P6*(1+Assumptions_SNA!$C$21)</f>
        <v/>
      </c>
      <c r="R6" s="17">
        <f>Q6*(1+Assumptions_SNA!$C$21)</f>
        <v/>
      </c>
      <c r="S6" s="17">
        <f>R6*(1+Assumptions_SNA!$C$21)</f>
        <v/>
      </c>
      <c r="T6" s="17">
        <f>S6*(1+Assumptions_SNA!$C$21)</f>
        <v/>
      </c>
      <c r="U6" s="17">
        <f>T6*(1+Assumptions_SNA!$C$21)</f>
        <v/>
      </c>
      <c r="V6" s="17">
        <f>U6*(1+Assumptions_SNA!$C$21)</f>
        <v/>
      </c>
      <c r="W6" s="17">
        <f>V6*(1+Assumptions_SNA!$C$21)</f>
        <v/>
      </c>
      <c r="X6" s="17">
        <f>W6*(1+Assumptions_SNA!$C$21)</f>
        <v/>
      </c>
      <c r="Y6" s="17">
        <f>X6*(1+Assumptions_SNA!$C$21)</f>
        <v/>
      </c>
      <c r="Z6" s="17">
        <f>Y6*(1+Assumptions_SNA!$C$21)</f>
        <v/>
      </c>
      <c r="AA6" s="17">
        <f>Z6*(1+Assumptions_SNA!$C$21)</f>
        <v/>
      </c>
      <c r="AB6" s="17">
        <f>AA6*(1+Assumptions_SNA!$C$21)</f>
        <v/>
      </c>
      <c r="AC6" s="17">
        <f>AB6*(1+Assumptions_SNA!$C$21)</f>
        <v/>
      </c>
      <c r="AD6" s="17">
        <f>AC6*(1+Assumptions_SNA!$C$21)</f>
        <v/>
      </c>
      <c r="AE6" s="17">
        <f>AD6*(1+Assumptions_SNA!$C$21)</f>
        <v/>
      </c>
      <c r="AF6" s="17">
        <f>AE6*(1+Assumptions_SNA!$C$21)</f>
        <v/>
      </c>
      <c r="AG6" s="17">
        <f>AF6*(1+Assumptions_SNA!$C$21)</f>
        <v/>
      </c>
      <c r="AH6" s="17">
        <f>AG6*(1+Assumptions_SNA!$C$21)</f>
        <v/>
      </c>
      <c r="AI6" s="17">
        <f>AH6*(1+Assumptions_SNA!$C$21)</f>
        <v/>
      </c>
      <c r="AJ6" s="17">
        <f>AI6*(1+Assumptions_SNA!$C$21)</f>
        <v/>
      </c>
      <c r="AK6" s="17">
        <f>AJ6*(1+Assumptions_SNA!$C$21)</f>
        <v/>
      </c>
      <c r="AL6" s="17">
        <f>AK6*(1+Assumptions_SNA!$C$21)</f>
        <v/>
      </c>
      <c r="AM6" s="17">
        <f>AL6*(1+Assumptions_SNA!$C$21)</f>
        <v/>
      </c>
      <c r="AN6" s="17">
        <f>AM6*(1+Assumptions_SNA!$C$21)</f>
        <v/>
      </c>
      <c r="AO6" s="17">
        <f>AN6*(1+Assumptions_SNA!$C$21)</f>
        <v/>
      </c>
      <c r="AP6" s="17">
        <f>AO6*(1+Assumptions_SNA!$C$21)</f>
        <v/>
      </c>
      <c r="AQ6" s="17">
        <f>AP6*(1+Assumptions_SNA!$C$21)</f>
        <v/>
      </c>
      <c r="AR6" s="17">
        <f>AQ6*(1+Assumptions_SNA!$C$21)</f>
        <v/>
      </c>
      <c r="AS6" s="17">
        <f>AR6*(1+Assumptions_SNA!$C$21)</f>
        <v/>
      </c>
      <c r="AT6" s="17">
        <f>AS6*(1+Assumptions_SNA!$C$21)</f>
        <v/>
      </c>
      <c r="AU6" s="17">
        <f>AT6*(1+Assumptions_SNA!$C$21)</f>
        <v/>
      </c>
      <c r="AV6" s="17">
        <f>AU6*(1+Assumptions_SNA!$C$21)</f>
        <v/>
      </c>
      <c r="AW6" s="17">
        <f>AV6*(1+Assumptions_SNA!$C$21)</f>
        <v/>
      </c>
      <c r="AX6" s="17">
        <f>AW6*(1+Assumptions_SNA!$C$21)</f>
        <v/>
      </c>
      <c r="AY6" s="17">
        <f>AX6*(1+Assumptions_SNA!$C$21)</f>
        <v/>
      </c>
      <c r="AZ6" s="17">
        <f>AY6*(1+Assumptions_SNA!$C$21)</f>
        <v/>
      </c>
      <c r="BA6" s="17">
        <f>AZ6*(1+Assumptions_SNA!$C$21)</f>
        <v/>
      </c>
      <c r="BB6" s="17">
        <f>BA6*(1+Assumptions_SNA!$C$21)</f>
        <v/>
      </c>
      <c r="BC6" s="17">
        <f>BB6*(1+Assumptions_SNA!$C$21)</f>
        <v/>
      </c>
      <c r="BD6" s="17">
        <f>BC6*(1+Assumptions_SNA!$C$21)</f>
        <v/>
      </c>
      <c r="BE6" s="17">
        <f>BD6*(1+Assumptions_SNA!$C$21)</f>
        <v/>
      </c>
      <c r="BF6" s="17">
        <f>BE6*(1+Assumptions_SNA!$C$21)</f>
        <v/>
      </c>
      <c r="BG6" s="17">
        <f>BF6*(1+Assumptions_SNA!$C$21)</f>
        <v/>
      </c>
      <c r="BH6" s="17">
        <f>BG6*(1+Assumptions_SNA!$C$21)</f>
        <v/>
      </c>
      <c r="BI6" s="17">
        <f>BH6*(1+Assumptions_SNA!$C$21)</f>
        <v/>
      </c>
      <c r="BJ6" s="17">
        <f>BI6*(1+Assumptions_SNA!$C$21)</f>
        <v/>
      </c>
    </row>
    <row r="7">
      <c r="B7" t="inlineStr">
        <is>
          <t>Conversion Rate</t>
        </is>
      </c>
      <c r="C7" s="9" t="n">
        <v>0.02</v>
      </c>
      <c r="D7" s="9" t="n">
        <v>0.02</v>
      </c>
      <c r="E7" s="9" t="n">
        <v>0.02</v>
      </c>
      <c r="F7" s="9" t="n">
        <v>0.02</v>
      </c>
      <c r="G7" s="9" t="n">
        <v>0.02</v>
      </c>
      <c r="H7" s="9" t="n">
        <v>0.02</v>
      </c>
      <c r="I7" s="9" t="n">
        <v>0.02</v>
      </c>
      <c r="J7" s="9" t="n">
        <v>0.02</v>
      </c>
      <c r="K7" s="9" t="n">
        <v>0.02</v>
      </c>
      <c r="L7" s="9" t="n">
        <v>0.02</v>
      </c>
      <c r="M7" s="9" t="n">
        <v>0.02</v>
      </c>
      <c r="N7" s="9" t="n">
        <v>0.02</v>
      </c>
      <c r="O7" s="9" t="n">
        <v>0.02</v>
      </c>
      <c r="P7" s="9" t="n">
        <v>0.02</v>
      </c>
      <c r="Q7" s="9" t="n">
        <v>0.02</v>
      </c>
      <c r="R7" s="9" t="n">
        <v>0.02</v>
      </c>
      <c r="S7" s="9" t="n">
        <v>0.02</v>
      </c>
      <c r="T7" s="9" t="n">
        <v>0.02</v>
      </c>
      <c r="U7" s="9" t="n">
        <v>0.02</v>
      </c>
      <c r="V7" s="9" t="n">
        <v>0.02</v>
      </c>
      <c r="W7" s="9" t="n">
        <v>0.02</v>
      </c>
      <c r="X7" s="9" t="n">
        <v>0.02</v>
      </c>
      <c r="Y7" s="9" t="n">
        <v>0.02</v>
      </c>
      <c r="Z7" s="9" t="n">
        <v>0.02</v>
      </c>
      <c r="AA7" s="9" t="n">
        <v>0.02</v>
      </c>
      <c r="AB7" s="9" t="n">
        <v>0.02</v>
      </c>
      <c r="AC7" s="9" t="n">
        <v>0.02</v>
      </c>
      <c r="AD7" s="9" t="n">
        <v>0.02</v>
      </c>
      <c r="AE7" s="9" t="n">
        <v>0.02</v>
      </c>
      <c r="AF7" s="9" t="n">
        <v>0.02</v>
      </c>
      <c r="AG7" s="9" t="n">
        <v>0.02</v>
      </c>
      <c r="AH7" s="9" t="n">
        <v>0.02</v>
      </c>
      <c r="AI7" s="9" t="n">
        <v>0.02</v>
      </c>
      <c r="AJ7" s="9" t="n">
        <v>0.02</v>
      </c>
      <c r="AK7" s="9" t="n">
        <v>0.02</v>
      </c>
      <c r="AL7" s="9" t="n">
        <v>0.02</v>
      </c>
      <c r="AM7" s="9" t="n">
        <v>0.02</v>
      </c>
      <c r="AN7" s="9" t="n">
        <v>0.02</v>
      </c>
      <c r="AO7" s="9" t="n">
        <v>0.02</v>
      </c>
      <c r="AP7" s="9" t="n">
        <v>0.02</v>
      </c>
      <c r="AQ7" s="9" t="n">
        <v>0.02</v>
      </c>
      <c r="AR7" s="9" t="n">
        <v>0.02</v>
      </c>
      <c r="AS7" s="9" t="n">
        <v>0.02</v>
      </c>
      <c r="AT7" s="9" t="n">
        <v>0.02</v>
      </c>
      <c r="AU7" s="9" t="n">
        <v>0.02</v>
      </c>
      <c r="AV7" s="9" t="n">
        <v>0.02</v>
      </c>
      <c r="AW7" s="9" t="n">
        <v>0.02</v>
      </c>
      <c r="AX7" s="9" t="n">
        <v>0.02</v>
      </c>
      <c r="AY7" s="9" t="n">
        <v>0.02</v>
      </c>
      <c r="AZ7" s="9" t="n">
        <v>0.02</v>
      </c>
      <c r="BA7" s="9" t="n">
        <v>0.02</v>
      </c>
      <c r="BB7" s="9" t="n">
        <v>0.02</v>
      </c>
      <c r="BC7" s="9" t="n">
        <v>0.02</v>
      </c>
      <c r="BD7" s="9" t="n">
        <v>0.02</v>
      </c>
      <c r="BE7" s="9" t="n">
        <v>0.02</v>
      </c>
      <c r="BF7" s="9" t="n">
        <v>0.02</v>
      </c>
      <c r="BG7" s="9" t="n">
        <v>0.02</v>
      </c>
      <c r="BH7" s="9" t="n">
        <v>0.02</v>
      </c>
      <c r="BI7" s="9" t="n">
        <v>0.02</v>
      </c>
      <c r="BJ7" s="9" t="n">
        <v>0.02</v>
      </c>
    </row>
    <row r="8">
      <c r="B8" t="inlineStr">
        <is>
          <t>New Customers Acquired</t>
        </is>
      </c>
      <c r="C8" s="17">
        <f>C6*C7</f>
        <v/>
      </c>
      <c r="D8" s="17">
        <f>D6*D7</f>
        <v/>
      </c>
      <c r="E8" s="17">
        <f>E6*E7</f>
        <v/>
      </c>
      <c r="F8" s="17">
        <f>F6*F7</f>
        <v/>
      </c>
      <c r="G8" s="17">
        <f>G6*G7</f>
        <v/>
      </c>
      <c r="H8" s="17">
        <f>H6*H7</f>
        <v/>
      </c>
      <c r="I8" s="17">
        <f>I6*I7</f>
        <v/>
      </c>
      <c r="J8" s="17">
        <f>J6*J7</f>
        <v/>
      </c>
      <c r="K8" s="17">
        <f>K6*K7</f>
        <v/>
      </c>
      <c r="L8" s="17">
        <f>L6*L7</f>
        <v/>
      </c>
      <c r="M8" s="17">
        <f>M6*M7</f>
        <v/>
      </c>
      <c r="N8" s="17">
        <f>N6*N7</f>
        <v/>
      </c>
      <c r="O8" s="17">
        <f>O6*O7</f>
        <v/>
      </c>
      <c r="P8" s="17">
        <f>P6*P7</f>
        <v/>
      </c>
      <c r="Q8" s="17">
        <f>Q6*Q7</f>
        <v/>
      </c>
      <c r="R8" s="17">
        <f>R6*R7</f>
        <v/>
      </c>
      <c r="S8" s="17">
        <f>S6*S7</f>
        <v/>
      </c>
      <c r="T8" s="17">
        <f>T6*T7</f>
        <v/>
      </c>
      <c r="U8" s="17">
        <f>U6*U7</f>
        <v/>
      </c>
      <c r="V8" s="17">
        <f>V6*V7</f>
        <v/>
      </c>
      <c r="W8" s="17">
        <f>W6*W7</f>
        <v/>
      </c>
      <c r="X8" s="17">
        <f>X6*X7</f>
        <v/>
      </c>
      <c r="Y8" s="17">
        <f>Y6*Y7</f>
        <v/>
      </c>
      <c r="Z8" s="17">
        <f>Z6*Z7</f>
        <v/>
      </c>
      <c r="AA8" s="17">
        <f>AA6*AA7</f>
        <v/>
      </c>
      <c r="AB8" s="17">
        <f>AB6*AB7</f>
        <v/>
      </c>
      <c r="AC8" s="17">
        <f>AC6*AC7</f>
        <v/>
      </c>
      <c r="AD8" s="17">
        <f>AD6*AD7</f>
        <v/>
      </c>
      <c r="AE8" s="17">
        <f>AE6*AE7</f>
        <v/>
      </c>
      <c r="AF8" s="17">
        <f>AF6*AF7</f>
        <v/>
      </c>
      <c r="AG8" s="17">
        <f>AG6*AG7</f>
        <v/>
      </c>
      <c r="AH8" s="17">
        <f>AH6*AH7</f>
        <v/>
      </c>
      <c r="AI8" s="17">
        <f>AI6*AI7</f>
        <v/>
      </c>
      <c r="AJ8" s="17">
        <f>AJ6*AJ7</f>
        <v/>
      </c>
      <c r="AK8" s="17">
        <f>AK6*AK7</f>
        <v/>
      </c>
      <c r="AL8" s="17">
        <f>AL6*AL7</f>
        <v/>
      </c>
      <c r="AM8" s="17">
        <f>AM6*AM7</f>
        <v/>
      </c>
      <c r="AN8" s="17">
        <f>AN6*AN7</f>
        <v/>
      </c>
      <c r="AO8" s="17">
        <f>AO6*AO7</f>
        <v/>
      </c>
      <c r="AP8" s="17">
        <f>AP6*AP7</f>
        <v/>
      </c>
      <c r="AQ8" s="17">
        <f>AQ6*AQ7</f>
        <v/>
      </c>
      <c r="AR8" s="17">
        <f>AR6*AR7</f>
        <v/>
      </c>
      <c r="AS8" s="17">
        <f>AS6*AS7</f>
        <v/>
      </c>
      <c r="AT8" s="17">
        <f>AT6*AT7</f>
        <v/>
      </c>
      <c r="AU8" s="17">
        <f>AU6*AU7</f>
        <v/>
      </c>
      <c r="AV8" s="17">
        <f>AV6*AV7</f>
        <v/>
      </c>
      <c r="AW8" s="17">
        <f>AW6*AW7</f>
        <v/>
      </c>
      <c r="AX8" s="17">
        <f>AX6*AX7</f>
        <v/>
      </c>
      <c r="AY8" s="17">
        <f>AY6*AY7</f>
        <v/>
      </c>
      <c r="AZ8" s="17">
        <f>AZ6*AZ7</f>
        <v/>
      </c>
      <c r="BA8" s="17">
        <f>BA6*BA7</f>
        <v/>
      </c>
      <c r="BB8" s="17">
        <f>BB6*BB7</f>
        <v/>
      </c>
      <c r="BC8" s="17">
        <f>BC6*BC7</f>
        <v/>
      </c>
      <c r="BD8" s="17">
        <f>BD6*BD7</f>
        <v/>
      </c>
      <c r="BE8" s="17">
        <f>BE6*BE7</f>
        <v/>
      </c>
      <c r="BF8" s="17">
        <f>BF6*BF7</f>
        <v/>
      </c>
      <c r="BG8" s="17">
        <f>BG6*BG7</f>
        <v/>
      </c>
      <c r="BH8" s="17">
        <f>BH6*BH7</f>
        <v/>
      </c>
      <c r="BI8" s="17">
        <f>BI6*BI7</f>
        <v/>
      </c>
      <c r="BJ8" s="17">
        <f>BJ6*BJ7</f>
        <v/>
      </c>
    </row>
    <row r="10">
      <c r="B10" s="3" t="inlineStr">
        <is>
          <t>MRR WATERFALL</t>
        </is>
      </c>
    </row>
    <row r="11">
      <c r="B11" t="inlineStr">
        <is>
          <t>Beginning MRR</t>
        </is>
      </c>
      <c r="C11" s="10" t="n">
        <v>0</v>
      </c>
      <c r="D11" s="13">
        <f>C16</f>
        <v/>
      </c>
      <c r="E11" s="13">
        <f>D16</f>
        <v/>
      </c>
      <c r="F11" s="13">
        <f>E16</f>
        <v/>
      </c>
      <c r="G11" s="13">
        <f>F16</f>
        <v/>
      </c>
      <c r="H11" s="13">
        <f>G16</f>
        <v/>
      </c>
      <c r="I11" s="13">
        <f>H16</f>
        <v/>
      </c>
      <c r="J11" s="13">
        <f>I16</f>
        <v/>
      </c>
      <c r="K11" s="13">
        <f>J16</f>
        <v/>
      </c>
      <c r="L11" s="13">
        <f>K16</f>
        <v/>
      </c>
      <c r="M11" s="13">
        <f>L16</f>
        <v/>
      </c>
      <c r="N11" s="13">
        <f>M16</f>
        <v/>
      </c>
      <c r="O11" s="13">
        <f>N16</f>
        <v/>
      </c>
      <c r="P11" s="13">
        <f>O16</f>
        <v/>
      </c>
      <c r="Q11" s="13">
        <f>P16</f>
        <v/>
      </c>
      <c r="R11" s="13">
        <f>Q16</f>
        <v/>
      </c>
      <c r="S11" s="13">
        <f>R16</f>
        <v/>
      </c>
      <c r="T11" s="13">
        <f>S16</f>
        <v/>
      </c>
      <c r="U11" s="13">
        <f>T16</f>
        <v/>
      </c>
      <c r="V11" s="13">
        <f>U16</f>
        <v/>
      </c>
      <c r="W11" s="13">
        <f>V16</f>
        <v/>
      </c>
      <c r="X11" s="13">
        <f>W16</f>
        <v/>
      </c>
      <c r="Y11" s="13">
        <f>X16</f>
        <v/>
      </c>
      <c r="Z11" s="13">
        <f>Y16</f>
        <v/>
      </c>
      <c r="AA11" s="13">
        <f>Z16</f>
        <v/>
      </c>
      <c r="AB11" s="13">
        <f>AA16</f>
        <v/>
      </c>
      <c r="AC11" s="13">
        <f>AB16</f>
        <v/>
      </c>
      <c r="AD11" s="13">
        <f>AC16</f>
        <v/>
      </c>
      <c r="AE11" s="13">
        <f>AD16</f>
        <v/>
      </c>
      <c r="AF11" s="13">
        <f>AE16</f>
        <v/>
      </c>
      <c r="AG11" s="13">
        <f>AF16</f>
        <v/>
      </c>
      <c r="AH11" s="13">
        <f>AG16</f>
        <v/>
      </c>
      <c r="AI11" s="13">
        <f>AH16</f>
        <v/>
      </c>
      <c r="AJ11" s="13">
        <f>AI16</f>
        <v/>
      </c>
      <c r="AK11" s="13">
        <f>AJ16</f>
        <v/>
      </c>
      <c r="AL11" s="13">
        <f>AK16</f>
        <v/>
      </c>
      <c r="AM11" s="13">
        <f>AL16</f>
        <v/>
      </c>
      <c r="AN11" s="13">
        <f>AM16</f>
        <v/>
      </c>
      <c r="AO11" s="13">
        <f>AN16</f>
        <v/>
      </c>
      <c r="AP11" s="13">
        <f>AO16</f>
        <v/>
      </c>
      <c r="AQ11" s="13">
        <f>AP16</f>
        <v/>
      </c>
      <c r="AR11" s="13">
        <f>AQ16</f>
        <v/>
      </c>
      <c r="AS11" s="13">
        <f>AR16</f>
        <v/>
      </c>
      <c r="AT11" s="13">
        <f>AS16</f>
        <v/>
      </c>
      <c r="AU11" s="13">
        <f>AT16</f>
        <v/>
      </c>
      <c r="AV11" s="13">
        <f>AU16</f>
        <v/>
      </c>
      <c r="AW11" s="13">
        <f>AV16</f>
        <v/>
      </c>
      <c r="AX11" s="13">
        <f>AW16</f>
        <v/>
      </c>
      <c r="AY11" s="13">
        <f>AX16</f>
        <v/>
      </c>
      <c r="AZ11" s="13">
        <f>AY16</f>
        <v/>
      </c>
      <c r="BA11" s="13">
        <f>AZ16</f>
        <v/>
      </c>
      <c r="BB11" s="13">
        <f>BA16</f>
        <v/>
      </c>
      <c r="BC11" s="13">
        <f>BB16</f>
        <v/>
      </c>
      <c r="BD11" s="13">
        <f>BC16</f>
        <v/>
      </c>
      <c r="BE11" s="13">
        <f>BD16</f>
        <v/>
      </c>
      <c r="BF11" s="13">
        <f>BE16</f>
        <v/>
      </c>
      <c r="BG11" s="13">
        <f>BF16</f>
        <v/>
      </c>
      <c r="BH11" s="13">
        <f>BG16</f>
        <v/>
      </c>
      <c r="BI11" s="13">
        <f>BH16</f>
        <v/>
      </c>
      <c r="BJ11" s="13">
        <f>BI16</f>
        <v/>
      </c>
    </row>
    <row r="12">
      <c r="B12" t="inlineStr">
        <is>
          <t>New MRR</t>
        </is>
      </c>
      <c r="C12" s="18">
        <f>C8*Assumptions_SNA!$C$24</f>
        <v/>
      </c>
      <c r="D12" s="18">
        <f>D8*Assumptions_SNA!$C$24</f>
        <v/>
      </c>
      <c r="E12" s="18">
        <f>E8*Assumptions_SNA!$C$24</f>
        <v/>
      </c>
      <c r="F12" s="18">
        <f>F8*Assumptions_SNA!$C$24</f>
        <v/>
      </c>
      <c r="G12" s="18">
        <f>G8*Assumptions_SNA!$C$24</f>
        <v/>
      </c>
      <c r="H12" s="18">
        <f>H8*Assumptions_SNA!$C$24</f>
        <v/>
      </c>
      <c r="I12" s="18">
        <f>I8*Assumptions_SNA!$C$24</f>
        <v/>
      </c>
      <c r="J12" s="18">
        <f>J8*Assumptions_SNA!$C$24</f>
        <v/>
      </c>
      <c r="K12" s="18">
        <f>K8*Assumptions_SNA!$C$24</f>
        <v/>
      </c>
      <c r="L12" s="18">
        <f>L8*Assumptions_SNA!$C$24</f>
        <v/>
      </c>
      <c r="M12" s="18">
        <f>M8*Assumptions_SNA!$C$24</f>
        <v/>
      </c>
      <c r="N12" s="18">
        <f>N8*Assumptions_SNA!$C$24</f>
        <v/>
      </c>
      <c r="O12" s="18">
        <f>O8*Assumptions_SNA!$C$24</f>
        <v/>
      </c>
      <c r="P12" s="18">
        <f>P8*Assumptions_SNA!$C$24</f>
        <v/>
      </c>
      <c r="Q12" s="18">
        <f>Q8*Assumptions_SNA!$C$24</f>
        <v/>
      </c>
      <c r="R12" s="18">
        <f>R8*Assumptions_SNA!$C$24</f>
        <v/>
      </c>
      <c r="S12" s="18">
        <f>S8*Assumptions_SNA!$C$24</f>
        <v/>
      </c>
      <c r="T12" s="18">
        <f>T8*Assumptions_SNA!$C$24</f>
        <v/>
      </c>
      <c r="U12" s="18">
        <f>U8*Assumptions_SNA!$C$24</f>
        <v/>
      </c>
      <c r="V12" s="18">
        <f>V8*Assumptions_SNA!$C$24</f>
        <v/>
      </c>
      <c r="W12" s="18">
        <f>W8*Assumptions_SNA!$C$24</f>
        <v/>
      </c>
      <c r="X12" s="18">
        <f>X8*Assumptions_SNA!$C$24</f>
        <v/>
      </c>
      <c r="Y12" s="18">
        <f>Y8*Assumptions_SNA!$C$24</f>
        <v/>
      </c>
      <c r="Z12" s="18">
        <f>Z8*Assumptions_SNA!$C$24</f>
        <v/>
      </c>
      <c r="AA12" s="18">
        <f>AA8*Assumptions_SNA!$C$24</f>
        <v/>
      </c>
      <c r="AB12" s="18">
        <f>AB8*Assumptions_SNA!$C$24</f>
        <v/>
      </c>
      <c r="AC12" s="18">
        <f>AC8*Assumptions_SNA!$C$24</f>
        <v/>
      </c>
      <c r="AD12" s="18">
        <f>AD8*Assumptions_SNA!$C$24</f>
        <v/>
      </c>
      <c r="AE12" s="18">
        <f>AE8*Assumptions_SNA!$C$24</f>
        <v/>
      </c>
      <c r="AF12" s="18">
        <f>AF8*Assumptions_SNA!$C$24</f>
        <v/>
      </c>
      <c r="AG12" s="18">
        <f>AG8*Assumptions_SNA!$C$24</f>
        <v/>
      </c>
      <c r="AH12" s="18">
        <f>AH8*Assumptions_SNA!$C$24</f>
        <v/>
      </c>
      <c r="AI12" s="18">
        <f>AI8*Assumptions_SNA!$C$24</f>
        <v/>
      </c>
      <c r="AJ12" s="18">
        <f>AJ8*Assumptions_SNA!$C$24</f>
        <v/>
      </c>
      <c r="AK12" s="18">
        <f>AK8*Assumptions_SNA!$C$24</f>
        <v/>
      </c>
      <c r="AL12" s="18">
        <f>AL8*Assumptions_SNA!$C$24</f>
        <v/>
      </c>
      <c r="AM12" s="18">
        <f>AM8*Assumptions_SNA!$C$24</f>
        <v/>
      </c>
      <c r="AN12" s="18">
        <f>AN8*Assumptions_SNA!$C$24</f>
        <v/>
      </c>
      <c r="AO12" s="18">
        <f>AO8*Assumptions_SNA!$C$24</f>
        <v/>
      </c>
      <c r="AP12" s="18">
        <f>AP8*Assumptions_SNA!$C$24</f>
        <v/>
      </c>
      <c r="AQ12" s="18">
        <f>AQ8*Assumptions_SNA!$C$24</f>
        <v/>
      </c>
      <c r="AR12" s="18">
        <f>AR8*Assumptions_SNA!$C$24</f>
        <v/>
      </c>
      <c r="AS12" s="18">
        <f>AS8*Assumptions_SNA!$C$24</f>
        <v/>
      </c>
      <c r="AT12" s="18">
        <f>AT8*Assumptions_SNA!$C$24</f>
        <v/>
      </c>
      <c r="AU12" s="18">
        <f>AU8*Assumptions_SNA!$C$24</f>
        <v/>
      </c>
      <c r="AV12" s="18">
        <f>AV8*Assumptions_SNA!$C$24</f>
        <v/>
      </c>
      <c r="AW12" s="18">
        <f>AW8*Assumptions_SNA!$C$24</f>
        <v/>
      </c>
      <c r="AX12" s="18">
        <f>AX8*Assumptions_SNA!$C$24</f>
        <v/>
      </c>
      <c r="AY12" s="18">
        <f>AY8*Assumptions_SNA!$C$24</f>
        <v/>
      </c>
      <c r="AZ12" s="18">
        <f>AZ8*Assumptions_SNA!$C$24</f>
        <v/>
      </c>
      <c r="BA12" s="18">
        <f>BA8*Assumptions_SNA!$C$24</f>
        <v/>
      </c>
      <c r="BB12" s="18">
        <f>BB8*Assumptions_SNA!$C$24</f>
        <v/>
      </c>
      <c r="BC12" s="18">
        <f>BC8*Assumptions_SNA!$C$24</f>
        <v/>
      </c>
      <c r="BD12" s="18">
        <f>BD8*Assumptions_SNA!$C$24</f>
        <v/>
      </c>
      <c r="BE12" s="18">
        <f>BE8*Assumptions_SNA!$C$24</f>
        <v/>
      </c>
      <c r="BF12" s="18">
        <f>BF8*Assumptions_SNA!$C$24</f>
        <v/>
      </c>
      <c r="BG12" s="18">
        <f>BG8*Assumptions_SNA!$C$24</f>
        <v/>
      </c>
      <c r="BH12" s="18">
        <f>BH8*Assumptions_SNA!$C$24</f>
        <v/>
      </c>
      <c r="BI12" s="18">
        <f>BI8*Assumptions_SNA!$C$24</f>
        <v/>
      </c>
      <c r="BJ12" s="18">
        <f>BJ8*Assumptions_SNA!$C$24</f>
        <v/>
      </c>
    </row>
    <row r="13">
      <c r="B13" t="inlineStr">
        <is>
          <t>Expansion MRR</t>
        </is>
      </c>
      <c r="C13" s="18">
        <f>C11*Assumptions_SNA!$C$23</f>
        <v/>
      </c>
      <c r="D13" s="18">
        <f>D11*Assumptions_SNA!$C$23</f>
        <v/>
      </c>
      <c r="E13" s="18">
        <f>E11*Assumptions_SNA!$C$23</f>
        <v/>
      </c>
      <c r="F13" s="18">
        <f>F11*Assumptions_SNA!$C$23</f>
        <v/>
      </c>
      <c r="G13" s="18">
        <f>G11*Assumptions_SNA!$C$23</f>
        <v/>
      </c>
      <c r="H13" s="18">
        <f>H11*Assumptions_SNA!$C$23</f>
        <v/>
      </c>
      <c r="I13" s="18">
        <f>I11*Assumptions_SNA!$C$23</f>
        <v/>
      </c>
      <c r="J13" s="18">
        <f>J11*Assumptions_SNA!$C$23</f>
        <v/>
      </c>
      <c r="K13" s="18">
        <f>K11*Assumptions_SNA!$C$23</f>
        <v/>
      </c>
      <c r="L13" s="18">
        <f>L11*Assumptions_SNA!$C$23</f>
        <v/>
      </c>
      <c r="M13" s="18">
        <f>M11*Assumptions_SNA!$C$23</f>
        <v/>
      </c>
      <c r="N13" s="18">
        <f>N11*Assumptions_SNA!$C$23</f>
        <v/>
      </c>
      <c r="O13" s="18">
        <f>O11*Assumptions_SNA!$C$23</f>
        <v/>
      </c>
      <c r="P13" s="18">
        <f>P11*Assumptions_SNA!$C$23</f>
        <v/>
      </c>
      <c r="Q13" s="18">
        <f>Q11*Assumptions_SNA!$C$23</f>
        <v/>
      </c>
      <c r="R13" s="18">
        <f>R11*Assumptions_SNA!$C$23</f>
        <v/>
      </c>
      <c r="S13" s="18">
        <f>S11*Assumptions_SNA!$C$23</f>
        <v/>
      </c>
      <c r="T13" s="18">
        <f>T11*Assumptions_SNA!$C$23</f>
        <v/>
      </c>
      <c r="U13" s="18">
        <f>U11*Assumptions_SNA!$C$23</f>
        <v/>
      </c>
      <c r="V13" s="18">
        <f>V11*Assumptions_SNA!$C$23</f>
        <v/>
      </c>
      <c r="W13" s="18">
        <f>W11*Assumptions_SNA!$C$23</f>
        <v/>
      </c>
      <c r="X13" s="18">
        <f>X11*Assumptions_SNA!$C$23</f>
        <v/>
      </c>
      <c r="Y13" s="18">
        <f>Y11*Assumptions_SNA!$C$23</f>
        <v/>
      </c>
      <c r="Z13" s="18">
        <f>Z11*Assumptions_SNA!$C$23</f>
        <v/>
      </c>
      <c r="AA13" s="18">
        <f>AA11*Assumptions_SNA!$C$23</f>
        <v/>
      </c>
      <c r="AB13" s="18">
        <f>AB11*Assumptions_SNA!$C$23</f>
        <v/>
      </c>
      <c r="AC13" s="18">
        <f>AC11*Assumptions_SNA!$C$23</f>
        <v/>
      </c>
      <c r="AD13" s="18">
        <f>AD11*Assumptions_SNA!$C$23</f>
        <v/>
      </c>
      <c r="AE13" s="18">
        <f>AE11*Assumptions_SNA!$C$23</f>
        <v/>
      </c>
      <c r="AF13" s="18">
        <f>AF11*Assumptions_SNA!$C$23</f>
        <v/>
      </c>
      <c r="AG13" s="18">
        <f>AG11*Assumptions_SNA!$C$23</f>
        <v/>
      </c>
      <c r="AH13" s="18">
        <f>AH11*Assumptions_SNA!$C$23</f>
        <v/>
      </c>
      <c r="AI13" s="18">
        <f>AI11*Assumptions_SNA!$C$23</f>
        <v/>
      </c>
      <c r="AJ13" s="18">
        <f>AJ11*Assumptions_SNA!$C$23</f>
        <v/>
      </c>
      <c r="AK13" s="18">
        <f>AK11*Assumptions_SNA!$C$23</f>
        <v/>
      </c>
      <c r="AL13" s="18">
        <f>AL11*Assumptions_SNA!$C$23</f>
        <v/>
      </c>
      <c r="AM13" s="18">
        <f>AM11*Assumptions_SNA!$C$23</f>
        <v/>
      </c>
      <c r="AN13" s="18">
        <f>AN11*Assumptions_SNA!$C$23</f>
        <v/>
      </c>
      <c r="AO13" s="18">
        <f>AO11*Assumptions_SNA!$C$23</f>
        <v/>
      </c>
      <c r="AP13" s="18">
        <f>AP11*Assumptions_SNA!$C$23</f>
        <v/>
      </c>
      <c r="AQ13" s="18">
        <f>AQ11*Assumptions_SNA!$C$23</f>
        <v/>
      </c>
      <c r="AR13" s="18">
        <f>AR11*Assumptions_SNA!$C$23</f>
        <v/>
      </c>
      <c r="AS13" s="18">
        <f>AS11*Assumptions_SNA!$C$23</f>
        <v/>
      </c>
      <c r="AT13" s="18">
        <f>AT11*Assumptions_SNA!$C$23</f>
        <v/>
      </c>
      <c r="AU13" s="18">
        <f>AU11*Assumptions_SNA!$C$23</f>
        <v/>
      </c>
      <c r="AV13" s="18">
        <f>AV11*Assumptions_SNA!$C$23</f>
        <v/>
      </c>
      <c r="AW13" s="18">
        <f>AW11*Assumptions_SNA!$C$23</f>
        <v/>
      </c>
      <c r="AX13" s="18">
        <f>AX11*Assumptions_SNA!$C$23</f>
        <v/>
      </c>
      <c r="AY13" s="18">
        <f>AY11*Assumptions_SNA!$C$23</f>
        <v/>
      </c>
      <c r="AZ13" s="18">
        <f>AZ11*Assumptions_SNA!$C$23</f>
        <v/>
      </c>
      <c r="BA13" s="18">
        <f>BA11*Assumptions_SNA!$C$23</f>
        <v/>
      </c>
      <c r="BB13" s="18">
        <f>BB11*Assumptions_SNA!$C$23</f>
        <v/>
      </c>
      <c r="BC13" s="18">
        <f>BC11*Assumptions_SNA!$C$23</f>
        <v/>
      </c>
      <c r="BD13" s="18">
        <f>BD11*Assumptions_SNA!$C$23</f>
        <v/>
      </c>
      <c r="BE13" s="18">
        <f>BE11*Assumptions_SNA!$C$23</f>
        <v/>
      </c>
      <c r="BF13" s="18">
        <f>BF11*Assumptions_SNA!$C$23</f>
        <v/>
      </c>
      <c r="BG13" s="18">
        <f>BG11*Assumptions_SNA!$C$23</f>
        <v/>
      </c>
      <c r="BH13" s="18">
        <f>BH11*Assumptions_SNA!$C$23</f>
        <v/>
      </c>
      <c r="BI13" s="18">
        <f>BI11*Assumptions_SNA!$C$23</f>
        <v/>
      </c>
      <c r="BJ13" s="18">
        <f>BJ11*Assumptions_SNA!$C$23</f>
        <v/>
      </c>
    </row>
    <row r="14">
      <c r="B14" t="inlineStr">
        <is>
          <t>Churn MRR</t>
        </is>
      </c>
      <c r="C14" s="18">
        <f>-C11*Assumptions_SNA!$C$22</f>
        <v/>
      </c>
      <c r="D14" s="18">
        <f>-D11*Assumptions_SNA!$C$22</f>
        <v/>
      </c>
      <c r="E14" s="18">
        <f>-E11*Assumptions_SNA!$C$22</f>
        <v/>
      </c>
      <c r="F14" s="18">
        <f>-F11*Assumptions_SNA!$C$22</f>
        <v/>
      </c>
      <c r="G14" s="18">
        <f>-G11*Assumptions_SNA!$C$22</f>
        <v/>
      </c>
      <c r="H14" s="18">
        <f>-H11*Assumptions_SNA!$C$22</f>
        <v/>
      </c>
      <c r="I14" s="18">
        <f>-I11*Assumptions_SNA!$C$22</f>
        <v/>
      </c>
      <c r="J14" s="18">
        <f>-J11*Assumptions_SNA!$C$22</f>
        <v/>
      </c>
      <c r="K14" s="18">
        <f>-K11*Assumptions_SNA!$C$22</f>
        <v/>
      </c>
      <c r="L14" s="18">
        <f>-L11*Assumptions_SNA!$C$22</f>
        <v/>
      </c>
      <c r="M14" s="18">
        <f>-M11*Assumptions_SNA!$C$22</f>
        <v/>
      </c>
      <c r="N14" s="18">
        <f>-N11*Assumptions_SNA!$C$22</f>
        <v/>
      </c>
      <c r="O14" s="18">
        <f>-O11*Assumptions_SNA!$C$22</f>
        <v/>
      </c>
      <c r="P14" s="18">
        <f>-P11*Assumptions_SNA!$C$22</f>
        <v/>
      </c>
      <c r="Q14" s="18">
        <f>-Q11*Assumptions_SNA!$C$22</f>
        <v/>
      </c>
      <c r="R14" s="18">
        <f>-R11*Assumptions_SNA!$C$22</f>
        <v/>
      </c>
      <c r="S14" s="18">
        <f>-S11*Assumptions_SNA!$C$22</f>
        <v/>
      </c>
      <c r="T14" s="18">
        <f>-T11*Assumptions_SNA!$C$22</f>
        <v/>
      </c>
      <c r="U14" s="18">
        <f>-U11*Assumptions_SNA!$C$22</f>
        <v/>
      </c>
      <c r="V14" s="18">
        <f>-V11*Assumptions_SNA!$C$22</f>
        <v/>
      </c>
      <c r="W14" s="18">
        <f>-W11*Assumptions_SNA!$C$22</f>
        <v/>
      </c>
      <c r="X14" s="18">
        <f>-X11*Assumptions_SNA!$C$22</f>
        <v/>
      </c>
      <c r="Y14" s="18">
        <f>-Y11*Assumptions_SNA!$C$22</f>
        <v/>
      </c>
      <c r="Z14" s="18">
        <f>-Z11*Assumptions_SNA!$C$22</f>
        <v/>
      </c>
      <c r="AA14" s="18">
        <f>-AA11*Assumptions_SNA!$C$22</f>
        <v/>
      </c>
      <c r="AB14" s="18">
        <f>-AB11*Assumptions_SNA!$C$22</f>
        <v/>
      </c>
      <c r="AC14" s="18">
        <f>-AC11*Assumptions_SNA!$C$22</f>
        <v/>
      </c>
      <c r="AD14" s="18">
        <f>-AD11*Assumptions_SNA!$C$22</f>
        <v/>
      </c>
      <c r="AE14" s="18">
        <f>-AE11*Assumptions_SNA!$C$22</f>
        <v/>
      </c>
      <c r="AF14" s="18">
        <f>-AF11*Assumptions_SNA!$C$22</f>
        <v/>
      </c>
      <c r="AG14" s="18">
        <f>-AG11*Assumptions_SNA!$C$22</f>
        <v/>
      </c>
      <c r="AH14" s="18">
        <f>-AH11*Assumptions_SNA!$C$22</f>
        <v/>
      </c>
      <c r="AI14" s="18">
        <f>-AI11*Assumptions_SNA!$C$22</f>
        <v/>
      </c>
      <c r="AJ14" s="18">
        <f>-AJ11*Assumptions_SNA!$C$22</f>
        <v/>
      </c>
      <c r="AK14" s="18">
        <f>-AK11*Assumptions_SNA!$C$22</f>
        <v/>
      </c>
      <c r="AL14" s="18">
        <f>-AL11*Assumptions_SNA!$C$22</f>
        <v/>
      </c>
      <c r="AM14" s="18">
        <f>-AM11*Assumptions_SNA!$C$22</f>
        <v/>
      </c>
      <c r="AN14" s="18">
        <f>-AN11*Assumptions_SNA!$C$22</f>
        <v/>
      </c>
      <c r="AO14" s="18">
        <f>-AO11*Assumptions_SNA!$C$22</f>
        <v/>
      </c>
      <c r="AP14" s="18">
        <f>-AP11*Assumptions_SNA!$C$22</f>
        <v/>
      </c>
      <c r="AQ14" s="18">
        <f>-AQ11*Assumptions_SNA!$C$22</f>
        <v/>
      </c>
      <c r="AR14" s="18">
        <f>-AR11*Assumptions_SNA!$C$22</f>
        <v/>
      </c>
      <c r="AS14" s="18">
        <f>-AS11*Assumptions_SNA!$C$22</f>
        <v/>
      </c>
      <c r="AT14" s="18">
        <f>-AT11*Assumptions_SNA!$C$22</f>
        <v/>
      </c>
      <c r="AU14" s="18">
        <f>-AU11*Assumptions_SNA!$C$22</f>
        <v/>
      </c>
      <c r="AV14" s="18">
        <f>-AV11*Assumptions_SNA!$C$22</f>
        <v/>
      </c>
      <c r="AW14" s="18">
        <f>-AW11*Assumptions_SNA!$C$22</f>
        <v/>
      </c>
      <c r="AX14" s="18">
        <f>-AX11*Assumptions_SNA!$C$22</f>
        <v/>
      </c>
      <c r="AY14" s="18">
        <f>-AY11*Assumptions_SNA!$C$22</f>
        <v/>
      </c>
      <c r="AZ14" s="18">
        <f>-AZ11*Assumptions_SNA!$C$22</f>
        <v/>
      </c>
      <c r="BA14" s="18">
        <f>-BA11*Assumptions_SNA!$C$22</f>
        <v/>
      </c>
      <c r="BB14" s="18">
        <f>-BB11*Assumptions_SNA!$C$22</f>
        <v/>
      </c>
      <c r="BC14" s="18">
        <f>-BC11*Assumptions_SNA!$C$22</f>
        <v/>
      </c>
      <c r="BD14" s="18">
        <f>-BD11*Assumptions_SNA!$C$22</f>
        <v/>
      </c>
      <c r="BE14" s="18">
        <f>-BE11*Assumptions_SNA!$C$22</f>
        <v/>
      </c>
      <c r="BF14" s="18">
        <f>-BF11*Assumptions_SNA!$C$22</f>
        <v/>
      </c>
      <c r="BG14" s="18">
        <f>-BG11*Assumptions_SNA!$C$22</f>
        <v/>
      </c>
      <c r="BH14" s="18">
        <f>-BH11*Assumptions_SNA!$C$22</f>
        <v/>
      </c>
      <c r="BI14" s="18">
        <f>-BI11*Assumptions_SNA!$C$22</f>
        <v/>
      </c>
      <c r="BJ14" s="18">
        <f>-BJ11*Assumptions_SNA!$C$22</f>
        <v/>
      </c>
    </row>
    <row r="15">
      <c r="B15" t="inlineStr">
        <is>
          <t>Net MRR Movement</t>
        </is>
      </c>
      <c r="C15" s="18">
        <f>SUM(C12:C14)</f>
        <v/>
      </c>
      <c r="D15" s="18">
        <f>SUM(D12:D14)</f>
        <v/>
      </c>
      <c r="E15" s="18">
        <f>SUM(E12:E14)</f>
        <v/>
      </c>
      <c r="F15" s="18">
        <f>SUM(F12:F14)</f>
        <v/>
      </c>
      <c r="G15" s="18">
        <f>SUM(G12:G14)</f>
        <v/>
      </c>
      <c r="H15" s="18">
        <f>SUM(H12:H14)</f>
        <v/>
      </c>
      <c r="I15" s="18">
        <f>SUM(I12:I14)</f>
        <v/>
      </c>
      <c r="J15" s="18">
        <f>SUM(J12:J14)</f>
        <v/>
      </c>
      <c r="K15" s="18">
        <f>SUM(K12:K14)</f>
        <v/>
      </c>
      <c r="L15" s="18">
        <f>SUM(L12:L14)</f>
        <v/>
      </c>
      <c r="M15" s="18">
        <f>SUM(M12:M14)</f>
        <v/>
      </c>
      <c r="N15" s="18">
        <f>SUM(N12:N14)</f>
        <v/>
      </c>
      <c r="O15" s="18">
        <f>SUM(O12:O14)</f>
        <v/>
      </c>
      <c r="P15" s="18">
        <f>SUM(P12:P14)</f>
        <v/>
      </c>
      <c r="Q15" s="18">
        <f>SUM(Q12:Q14)</f>
        <v/>
      </c>
      <c r="R15" s="18">
        <f>SUM(R12:R14)</f>
        <v/>
      </c>
      <c r="S15" s="18">
        <f>SUM(S12:S14)</f>
        <v/>
      </c>
      <c r="T15" s="18">
        <f>SUM(T12:T14)</f>
        <v/>
      </c>
      <c r="U15" s="18">
        <f>SUM(U12:U14)</f>
        <v/>
      </c>
      <c r="V15" s="18">
        <f>SUM(V12:V14)</f>
        <v/>
      </c>
      <c r="W15" s="18">
        <f>SUM(W12:W14)</f>
        <v/>
      </c>
      <c r="X15" s="18">
        <f>SUM(X12:X14)</f>
        <v/>
      </c>
      <c r="Y15" s="18">
        <f>SUM(Y12:Y14)</f>
        <v/>
      </c>
      <c r="Z15" s="18">
        <f>SUM(Z12:Z14)</f>
        <v/>
      </c>
      <c r="AA15" s="18">
        <f>SUM(AA12:AA14)</f>
        <v/>
      </c>
      <c r="AB15" s="18">
        <f>SUM(AB12:AB14)</f>
        <v/>
      </c>
      <c r="AC15" s="18">
        <f>SUM(AC12:AC14)</f>
        <v/>
      </c>
      <c r="AD15" s="18">
        <f>SUM(AD12:AD14)</f>
        <v/>
      </c>
      <c r="AE15" s="18">
        <f>SUM(AE12:AE14)</f>
        <v/>
      </c>
      <c r="AF15" s="18">
        <f>SUM(AF12:AF14)</f>
        <v/>
      </c>
      <c r="AG15" s="18">
        <f>SUM(AG12:AG14)</f>
        <v/>
      </c>
      <c r="AH15" s="18">
        <f>SUM(AH12:AH14)</f>
        <v/>
      </c>
      <c r="AI15" s="18">
        <f>SUM(AI12:AI14)</f>
        <v/>
      </c>
      <c r="AJ15" s="18">
        <f>SUM(AJ12:AJ14)</f>
        <v/>
      </c>
      <c r="AK15" s="18">
        <f>SUM(AK12:AK14)</f>
        <v/>
      </c>
      <c r="AL15" s="18">
        <f>SUM(AL12:AL14)</f>
        <v/>
      </c>
      <c r="AM15" s="18">
        <f>SUM(AM12:AM14)</f>
        <v/>
      </c>
      <c r="AN15" s="18">
        <f>SUM(AN12:AN14)</f>
        <v/>
      </c>
      <c r="AO15" s="18">
        <f>SUM(AO12:AO14)</f>
        <v/>
      </c>
      <c r="AP15" s="18">
        <f>SUM(AP12:AP14)</f>
        <v/>
      </c>
      <c r="AQ15" s="18">
        <f>SUM(AQ12:AQ14)</f>
        <v/>
      </c>
      <c r="AR15" s="18">
        <f>SUM(AR12:AR14)</f>
        <v/>
      </c>
      <c r="AS15" s="18">
        <f>SUM(AS12:AS14)</f>
        <v/>
      </c>
      <c r="AT15" s="18">
        <f>SUM(AT12:AT14)</f>
        <v/>
      </c>
      <c r="AU15" s="18">
        <f>SUM(AU12:AU14)</f>
        <v/>
      </c>
      <c r="AV15" s="18">
        <f>SUM(AV12:AV14)</f>
        <v/>
      </c>
      <c r="AW15" s="18">
        <f>SUM(AW12:AW14)</f>
        <v/>
      </c>
      <c r="AX15" s="18">
        <f>SUM(AX12:AX14)</f>
        <v/>
      </c>
      <c r="AY15" s="18">
        <f>SUM(AY12:AY14)</f>
        <v/>
      </c>
      <c r="AZ15" s="18">
        <f>SUM(AZ12:AZ14)</f>
        <v/>
      </c>
      <c r="BA15" s="18">
        <f>SUM(BA12:BA14)</f>
        <v/>
      </c>
      <c r="BB15" s="18">
        <f>SUM(BB12:BB14)</f>
        <v/>
      </c>
      <c r="BC15" s="18">
        <f>SUM(BC12:BC14)</f>
        <v/>
      </c>
      <c r="BD15" s="18">
        <f>SUM(BD12:BD14)</f>
        <v/>
      </c>
      <c r="BE15" s="18">
        <f>SUM(BE12:BE14)</f>
        <v/>
      </c>
      <c r="BF15" s="18">
        <f>SUM(BF12:BF14)</f>
        <v/>
      </c>
      <c r="BG15" s="18">
        <f>SUM(BG12:BG14)</f>
        <v/>
      </c>
      <c r="BH15" s="18">
        <f>SUM(BH12:BH14)</f>
        <v/>
      </c>
      <c r="BI15" s="18">
        <f>SUM(BI12:BI14)</f>
        <v/>
      </c>
      <c r="BJ15" s="18">
        <f>SUM(BJ12:BJ14)</f>
        <v/>
      </c>
    </row>
    <row r="16">
      <c r="B16" t="inlineStr">
        <is>
          <t>Ending MRR</t>
        </is>
      </c>
      <c r="C16" s="19">
        <f>C11+C15</f>
        <v/>
      </c>
      <c r="D16" s="19">
        <f>D11+D15</f>
        <v/>
      </c>
      <c r="E16" s="19">
        <f>E11+E15</f>
        <v/>
      </c>
      <c r="F16" s="19">
        <f>F11+F15</f>
        <v/>
      </c>
      <c r="G16" s="19">
        <f>G11+G15</f>
        <v/>
      </c>
      <c r="H16" s="19">
        <f>H11+H15</f>
        <v/>
      </c>
      <c r="I16" s="19">
        <f>I11+I15</f>
        <v/>
      </c>
      <c r="J16" s="19">
        <f>J11+J15</f>
        <v/>
      </c>
      <c r="K16" s="19">
        <f>K11+K15</f>
        <v/>
      </c>
      <c r="L16" s="19">
        <f>L11+L15</f>
        <v/>
      </c>
      <c r="M16" s="19">
        <f>M11+M15</f>
        <v/>
      </c>
      <c r="N16" s="19">
        <f>N11+N15</f>
        <v/>
      </c>
      <c r="O16" s="19">
        <f>O11+O15</f>
        <v/>
      </c>
      <c r="P16" s="19">
        <f>P11+P15</f>
        <v/>
      </c>
      <c r="Q16" s="19">
        <f>Q11+Q15</f>
        <v/>
      </c>
      <c r="R16" s="19">
        <f>R11+R15</f>
        <v/>
      </c>
      <c r="S16" s="19">
        <f>S11+S15</f>
        <v/>
      </c>
      <c r="T16" s="19">
        <f>T11+T15</f>
        <v/>
      </c>
      <c r="U16" s="19">
        <f>U11+U15</f>
        <v/>
      </c>
      <c r="V16" s="19">
        <f>V11+V15</f>
        <v/>
      </c>
      <c r="W16" s="19">
        <f>W11+W15</f>
        <v/>
      </c>
      <c r="X16" s="19">
        <f>X11+X15</f>
        <v/>
      </c>
      <c r="Y16" s="19">
        <f>Y11+Y15</f>
        <v/>
      </c>
      <c r="Z16" s="19">
        <f>Z11+Z15</f>
        <v/>
      </c>
      <c r="AA16" s="19">
        <f>AA11+AA15</f>
        <v/>
      </c>
      <c r="AB16" s="19">
        <f>AB11+AB15</f>
        <v/>
      </c>
      <c r="AC16" s="19">
        <f>AC11+AC15</f>
        <v/>
      </c>
      <c r="AD16" s="19">
        <f>AD11+AD15</f>
        <v/>
      </c>
      <c r="AE16" s="19">
        <f>AE11+AE15</f>
        <v/>
      </c>
      <c r="AF16" s="19">
        <f>AF11+AF15</f>
        <v/>
      </c>
      <c r="AG16" s="19">
        <f>AG11+AG15</f>
        <v/>
      </c>
      <c r="AH16" s="19">
        <f>AH11+AH15</f>
        <v/>
      </c>
      <c r="AI16" s="19">
        <f>AI11+AI15</f>
        <v/>
      </c>
      <c r="AJ16" s="19">
        <f>AJ11+AJ15</f>
        <v/>
      </c>
      <c r="AK16" s="19">
        <f>AK11+AK15</f>
        <v/>
      </c>
      <c r="AL16" s="19">
        <f>AL11+AL15</f>
        <v/>
      </c>
      <c r="AM16" s="19">
        <f>AM11+AM15</f>
        <v/>
      </c>
      <c r="AN16" s="19">
        <f>AN11+AN15</f>
        <v/>
      </c>
      <c r="AO16" s="19">
        <f>AO11+AO15</f>
        <v/>
      </c>
      <c r="AP16" s="19">
        <f>AP11+AP15</f>
        <v/>
      </c>
      <c r="AQ16" s="19">
        <f>AQ11+AQ15</f>
        <v/>
      </c>
      <c r="AR16" s="19">
        <f>AR11+AR15</f>
        <v/>
      </c>
      <c r="AS16" s="19">
        <f>AS11+AS15</f>
        <v/>
      </c>
      <c r="AT16" s="19">
        <f>AT11+AT15</f>
        <v/>
      </c>
      <c r="AU16" s="19">
        <f>AU11+AU15</f>
        <v/>
      </c>
      <c r="AV16" s="19">
        <f>AV11+AV15</f>
        <v/>
      </c>
      <c r="AW16" s="19">
        <f>AW11+AW15</f>
        <v/>
      </c>
      <c r="AX16" s="19">
        <f>AX11+AX15</f>
        <v/>
      </c>
      <c r="AY16" s="19">
        <f>AY11+AY15</f>
        <v/>
      </c>
      <c r="AZ16" s="19">
        <f>AZ11+AZ15</f>
        <v/>
      </c>
      <c r="BA16" s="19">
        <f>BA11+BA15</f>
        <v/>
      </c>
      <c r="BB16" s="19">
        <f>BB11+BB15</f>
        <v/>
      </c>
      <c r="BC16" s="19">
        <f>BC11+BC15</f>
        <v/>
      </c>
      <c r="BD16" s="19">
        <f>BD11+BD15</f>
        <v/>
      </c>
      <c r="BE16" s="19">
        <f>BE11+BE15</f>
        <v/>
      </c>
      <c r="BF16" s="19">
        <f>BF11+BF15</f>
        <v/>
      </c>
      <c r="BG16" s="19">
        <f>BG11+BG15</f>
        <v/>
      </c>
      <c r="BH16" s="19">
        <f>BH11+BH15</f>
        <v/>
      </c>
      <c r="BI16" s="19">
        <f>BI11+BI15</f>
        <v/>
      </c>
      <c r="BJ16" s="19">
        <f>BJ11+BJ15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J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10" customHeight="1"/>
    <row r="2">
      <c r="B2" s="5" t="inlineStr">
        <is>
          <t>CONSOLIDATED INCOME STATEMENT</t>
        </is>
      </c>
    </row>
    <row r="3">
      <c r="B3" s="6" t="n"/>
      <c r="C3" s="15">
        <f>'Revenue_Build'!C3</f>
        <v/>
      </c>
      <c r="D3" s="15">
        <f>'Revenue_Build'!D3</f>
        <v/>
      </c>
      <c r="E3" s="15">
        <f>'Revenue_Build'!E3</f>
        <v/>
      </c>
      <c r="F3" s="15">
        <f>'Revenue_Build'!F3</f>
        <v/>
      </c>
      <c r="G3" s="15">
        <f>'Revenue_Build'!G3</f>
        <v/>
      </c>
      <c r="H3" s="15">
        <f>'Revenue_Build'!H3</f>
        <v/>
      </c>
      <c r="I3" s="15">
        <f>'Revenue_Build'!I3</f>
        <v/>
      </c>
      <c r="J3" s="15">
        <f>'Revenue_Build'!J3</f>
        <v/>
      </c>
      <c r="K3" s="15">
        <f>'Revenue_Build'!K3</f>
        <v/>
      </c>
      <c r="L3" s="15">
        <f>'Revenue_Build'!L3</f>
        <v/>
      </c>
      <c r="M3" s="15">
        <f>'Revenue_Build'!M3</f>
        <v/>
      </c>
      <c r="N3" s="15">
        <f>'Revenue_Build'!N3</f>
        <v/>
      </c>
      <c r="O3" s="15">
        <f>'Revenue_Build'!O3</f>
        <v/>
      </c>
      <c r="P3" s="15">
        <f>'Revenue_Build'!P3</f>
        <v/>
      </c>
      <c r="Q3" s="15">
        <f>'Revenue_Build'!Q3</f>
        <v/>
      </c>
      <c r="R3" s="15">
        <f>'Revenue_Build'!R3</f>
        <v/>
      </c>
      <c r="S3" s="15">
        <f>'Revenue_Build'!S3</f>
        <v/>
      </c>
      <c r="T3" s="15">
        <f>'Revenue_Build'!T3</f>
        <v/>
      </c>
      <c r="U3" s="15">
        <f>'Revenue_Build'!U3</f>
        <v/>
      </c>
      <c r="V3" s="15">
        <f>'Revenue_Build'!V3</f>
        <v/>
      </c>
      <c r="W3" s="15">
        <f>'Revenue_Build'!W3</f>
        <v/>
      </c>
      <c r="X3" s="15">
        <f>'Revenue_Build'!X3</f>
        <v/>
      </c>
      <c r="Y3" s="15">
        <f>'Revenue_Build'!Y3</f>
        <v/>
      </c>
      <c r="Z3" s="15">
        <f>'Revenue_Build'!Z3</f>
        <v/>
      </c>
      <c r="AA3" s="15">
        <f>'Revenue_Build'!AA3</f>
        <v/>
      </c>
      <c r="AB3" s="15">
        <f>'Revenue_Build'!AB3</f>
        <v/>
      </c>
      <c r="AC3" s="15">
        <f>'Revenue_Build'!AC3</f>
        <v/>
      </c>
      <c r="AD3" s="15">
        <f>'Revenue_Build'!AD3</f>
        <v/>
      </c>
      <c r="AE3" s="15">
        <f>'Revenue_Build'!AE3</f>
        <v/>
      </c>
      <c r="AF3" s="15">
        <f>'Revenue_Build'!AF3</f>
        <v/>
      </c>
      <c r="AG3" s="15">
        <f>'Revenue_Build'!AG3</f>
        <v/>
      </c>
      <c r="AH3" s="15">
        <f>'Revenue_Build'!AH3</f>
        <v/>
      </c>
      <c r="AI3" s="15">
        <f>'Revenue_Build'!AI3</f>
        <v/>
      </c>
      <c r="AJ3" s="15">
        <f>'Revenue_Build'!AJ3</f>
        <v/>
      </c>
      <c r="AK3" s="15">
        <f>'Revenue_Build'!AK3</f>
        <v/>
      </c>
      <c r="AL3" s="15">
        <f>'Revenue_Build'!AL3</f>
        <v/>
      </c>
      <c r="AM3" s="15">
        <f>'Revenue_Build'!AM3</f>
        <v/>
      </c>
      <c r="AN3" s="15">
        <f>'Revenue_Build'!AN3</f>
        <v/>
      </c>
      <c r="AO3" s="15">
        <f>'Revenue_Build'!AO3</f>
        <v/>
      </c>
      <c r="AP3" s="15">
        <f>'Revenue_Build'!AP3</f>
        <v/>
      </c>
      <c r="AQ3" s="15">
        <f>'Revenue_Build'!AQ3</f>
        <v/>
      </c>
      <c r="AR3" s="15">
        <f>'Revenue_Build'!AR3</f>
        <v/>
      </c>
      <c r="AS3" s="15">
        <f>'Revenue_Build'!AS3</f>
        <v/>
      </c>
      <c r="AT3" s="15">
        <f>'Revenue_Build'!AT3</f>
        <v/>
      </c>
      <c r="AU3" s="15">
        <f>'Revenue_Build'!AU3</f>
        <v/>
      </c>
      <c r="AV3" s="15">
        <f>'Revenue_Build'!AV3</f>
        <v/>
      </c>
      <c r="AW3" s="15">
        <f>'Revenue_Build'!AW3</f>
        <v/>
      </c>
      <c r="AX3" s="15">
        <f>'Revenue_Build'!AX3</f>
        <v/>
      </c>
      <c r="AY3" s="15">
        <f>'Revenue_Build'!AY3</f>
        <v/>
      </c>
      <c r="AZ3" s="15">
        <f>'Revenue_Build'!AZ3</f>
        <v/>
      </c>
      <c r="BA3" s="15">
        <f>'Revenue_Build'!BA3</f>
        <v/>
      </c>
      <c r="BB3" s="15">
        <f>'Revenue_Build'!BB3</f>
        <v/>
      </c>
      <c r="BC3" s="15">
        <f>'Revenue_Build'!BC3</f>
        <v/>
      </c>
      <c r="BD3" s="15">
        <f>'Revenue_Build'!BD3</f>
        <v/>
      </c>
      <c r="BE3" s="15">
        <f>'Revenue_Build'!BE3</f>
        <v/>
      </c>
      <c r="BF3" s="15">
        <f>'Revenue_Build'!BF3</f>
        <v/>
      </c>
      <c r="BG3" s="15">
        <f>'Revenue_Build'!BG3</f>
        <v/>
      </c>
      <c r="BH3" s="15">
        <f>'Revenue_Build'!BH3</f>
        <v/>
      </c>
      <c r="BI3" s="15">
        <f>'Revenue_Build'!BI3</f>
        <v/>
      </c>
      <c r="BJ3" s="15">
        <f>'Revenue_Build'!BJ3</f>
        <v/>
      </c>
    </row>
    <row r="5">
      <c r="B5" s="3" t="inlineStr">
        <is>
          <t>REVENUE</t>
        </is>
      </c>
      <c r="C5" s="20">
        <f>'Revenue_Build'!C15</f>
        <v/>
      </c>
      <c r="D5" s="20">
        <f>'Revenue_Build'!D15</f>
        <v/>
      </c>
      <c r="E5" s="20">
        <f>'Revenue_Build'!E15</f>
        <v/>
      </c>
      <c r="F5" s="20">
        <f>'Revenue_Build'!F15</f>
        <v/>
      </c>
      <c r="G5" s="20">
        <f>'Revenue_Build'!G15</f>
        <v/>
      </c>
      <c r="H5" s="20">
        <f>'Revenue_Build'!H15</f>
        <v/>
      </c>
      <c r="I5" s="20">
        <f>'Revenue_Build'!I15</f>
        <v/>
      </c>
      <c r="J5" s="20">
        <f>'Revenue_Build'!J15</f>
        <v/>
      </c>
      <c r="K5" s="20">
        <f>'Revenue_Build'!K15</f>
        <v/>
      </c>
      <c r="L5" s="20">
        <f>'Revenue_Build'!L15</f>
        <v/>
      </c>
      <c r="M5" s="20">
        <f>'Revenue_Build'!M15</f>
        <v/>
      </c>
      <c r="N5" s="20">
        <f>'Revenue_Build'!N15</f>
        <v/>
      </c>
      <c r="O5" s="20">
        <f>'Revenue_Build'!O15</f>
        <v/>
      </c>
      <c r="P5" s="20">
        <f>'Revenue_Build'!P15</f>
        <v/>
      </c>
      <c r="Q5" s="20">
        <f>'Revenue_Build'!Q15</f>
        <v/>
      </c>
      <c r="R5" s="20">
        <f>'Revenue_Build'!R15</f>
        <v/>
      </c>
      <c r="S5" s="20">
        <f>'Revenue_Build'!S15</f>
        <v/>
      </c>
      <c r="T5" s="20">
        <f>'Revenue_Build'!T15</f>
        <v/>
      </c>
      <c r="U5" s="20">
        <f>'Revenue_Build'!U15</f>
        <v/>
      </c>
      <c r="V5" s="20">
        <f>'Revenue_Build'!V15</f>
        <v/>
      </c>
      <c r="W5" s="20">
        <f>'Revenue_Build'!W15</f>
        <v/>
      </c>
      <c r="X5" s="20">
        <f>'Revenue_Build'!X15</f>
        <v/>
      </c>
      <c r="Y5" s="20">
        <f>'Revenue_Build'!Y15</f>
        <v/>
      </c>
      <c r="Z5" s="20">
        <f>'Revenue_Build'!Z15</f>
        <v/>
      </c>
      <c r="AA5" s="20">
        <f>'Revenue_Build'!AA15</f>
        <v/>
      </c>
      <c r="AB5" s="20">
        <f>'Revenue_Build'!AB15</f>
        <v/>
      </c>
      <c r="AC5" s="20">
        <f>'Revenue_Build'!AC15</f>
        <v/>
      </c>
      <c r="AD5" s="20">
        <f>'Revenue_Build'!AD15</f>
        <v/>
      </c>
      <c r="AE5" s="20">
        <f>'Revenue_Build'!AE15</f>
        <v/>
      </c>
      <c r="AF5" s="20">
        <f>'Revenue_Build'!AF15</f>
        <v/>
      </c>
      <c r="AG5" s="20">
        <f>'Revenue_Build'!AG15</f>
        <v/>
      </c>
      <c r="AH5" s="20">
        <f>'Revenue_Build'!AH15</f>
        <v/>
      </c>
      <c r="AI5" s="20">
        <f>'Revenue_Build'!AI15</f>
        <v/>
      </c>
      <c r="AJ5" s="20">
        <f>'Revenue_Build'!AJ15</f>
        <v/>
      </c>
      <c r="AK5" s="20">
        <f>'Revenue_Build'!AK15</f>
        <v/>
      </c>
      <c r="AL5" s="20">
        <f>'Revenue_Build'!AL15</f>
        <v/>
      </c>
      <c r="AM5" s="20">
        <f>'Revenue_Build'!AM15</f>
        <v/>
      </c>
      <c r="AN5" s="20">
        <f>'Revenue_Build'!AN15</f>
        <v/>
      </c>
      <c r="AO5" s="20">
        <f>'Revenue_Build'!AO15</f>
        <v/>
      </c>
      <c r="AP5" s="20">
        <f>'Revenue_Build'!AP15</f>
        <v/>
      </c>
      <c r="AQ5" s="20">
        <f>'Revenue_Build'!AQ15</f>
        <v/>
      </c>
      <c r="AR5" s="20">
        <f>'Revenue_Build'!AR15</f>
        <v/>
      </c>
      <c r="AS5" s="20">
        <f>'Revenue_Build'!AS15</f>
        <v/>
      </c>
      <c r="AT5" s="20">
        <f>'Revenue_Build'!AT15</f>
        <v/>
      </c>
      <c r="AU5" s="20">
        <f>'Revenue_Build'!AU15</f>
        <v/>
      </c>
      <c r="AV5" s="20">
        <f>'Revenue_Build'!AV15</f>
        <v/>
      </c>
      <c r="AW5" s="20">
        <f>'Revenue_Build'!AW15</f>
        <v/>
      </c>
      <c r="AX5" s="20">
        <f>'Revenue_Build'!AX15</f>
        <v/>
      </c>
      <c r="AY5" s="20">
        <f>'Revenue_Build'!AY15</f>
        <v/>
      </c>
      <c r="AZ5" s="20">
        <f>'Revenue_Build'!AZ15</f>
        <v/>
      </c>
      <c r="BA5" s="20">
        <f>'Revenue_Build'!BA15</f>
        <v/>
      </c>
      <c r="BB5" s="20">
        <f>'Revenue_Build'!BB15</f>
        <v/>
      </c>
      <c r="BC5" s="20">
        <f>'Revenue_Build'!BC15</f>
        <v/>
      </c>
      <c r="BD5" s="20">
        <f>'Revenue_Build'!BD15</f>
        <v/>
      </c>
      <c r="BE5" s="20">
        <f>'Revenue_Build'!BE15</f>
        <v/>
      </c>
      <c r="BF5" s="20">
        <f>'Revenue_Build'!BF15</f>
        <v/>
      </c>
      <c r="BG5" s="20">
        <f>'Revenue_Build'!BG15</f>
        <v/>
      </c>
      <c r="BH5" s="20">
        <f>'Revenue_Build'!BH15</f>
        <v/>
      </c>
      <c r="BI5" s="20">
        <f>'Revenue_Build'!BI15</f>
        <v/>
      </c>
      <c r="BJ5" s="20">
        <f>'Revenue_Build'!BJ15</f>
        <v/>
      </c>
    </row>
    <row r="6">
      <c r="B6" t="inlineStr">
        <is>
          <t>Cost of Goods Sold</t>
        </is>
      </c>
      <c r="C6" s="18">
        <f>('Revenue_Build'!C15/Assumptions_SNA!$C$24)*Assumptions_SNA!$C$26</f>
        <v/>
      </c>
      <c r="D6" s="18">
        <f>('Revenue_Build'!D15/Assumptions_SNA!$C$24)*Assumptions_SNA!$C$26</f>
        <v/>
      </c>
      <c r="E6" s="18">
        <f>('Revenue_Build'!E15/Assumptions_SNA!$C$24)*Assumptions_SNA!$C$26</f>
        <v/>
      </c>
      <c r="F6" s="18">
        <f>('Revenue_Build'!F15/Assumptions_SNA!$C$24)*Assumptions_SNA!$C$26</f>
        <v/>
      </c>
      <c r="G6" s="18">
        <f>('Revenue_Build'!G15/Assumptions_SNA!$C$24)*Assumptions_SNA!$C$26</f>
        <v/>
      </c>
      <c r="H6" s="18">
        <f>('Revenue_Build'!H15/Assumptions_SNA!$C$24)*Assumptions_SNA!$C$26</f>
        <v/>
      </c>
      <c r="I6" s="18">
        <f>('Revenue_Build'!I15/Assumptions_SNA!$C$24)*Assumptions_SNA!$C$26</f>
        <v/>
      </c>
      <c r="J6" s="18">
        <f>('Revenue_Build'!J15/Assumptions_SNA!$C$24)*Assumptions_SNA!$C$26</f>
        <v/>
      </c>
      <c r="K6" s="18">
        <f>('Revenue_Build'!K15/Assumptions_SNA!$C$24)*Assumptions_SNA!$C$26</f>
        <v/>
      </c>
      <c r="L6" s="18">
        <f>('Revenue_Build'!L15/Assumptions_SNA!$C$24)*Assumptions_SNA!$C$26</f>
        <v/>
      </c>
      <c r="M6" s="18">
        <f>('Revenue_Build'!M15/Assumptions_SNA!$C$24)*Assumptions_SNA!$C$26</f>
        <v/>
      </c>
      <c r="N6" s="18">
        <f>('Revenue_Build'!N15/Assumptions_SNA!$C$24)*Assumptions_SNA!$C$26</f>
        <v/>
      </c>
      <c r="O6" s="18">
        <f>('Revenue_Build'!O15/Assumptions_SNA!$C$24)*Assumptions_SNA!$C$26</f>
        <v/>
      </c>
      <c r="P6" s="18">
        <f>('Revenue_Build'!P15/Assumptions_SNA!$C$24)*Assumptions_SNA!$C$26</f>
        <v/>
      </c>
      <c r="Q6" s="18">
        <f>('Revenue_Build'!Q15/Assumptions_SNA!$C$24)*Assumptions_SNA!$C$26</f>
        <v/>
      </c>
      <c r="R6" s="18">
        <f>('Revenue_Build'!R15/Assumptions_SNA!$C$24)*Assumptions_SNA!$C$26</f>
        <v/>
      </c>
      <c r="S6" s="18">
        <f>('Revenue_Build'!S15/Assumptions_SNA!$C$24)*Assumptions_SNA!$C$26</f>
        <v/>
      </c>
      <c r="T6" s="18">
        <f>('Revenue_Build'!T15/Assumptions_SNA!$C$24)*Assumptions_SNA!$C$26</f>
        <v/>
      </c>
      <c r="U6" s="18">
        <f>('Revenue_Build'!U15/Assumptions_SNA!$C$24)*Assumptions_SNA!$C$26</f>
        <v/>
      </c>
      <c r="V6" s="18">
        <f>('Revenue_Build'!V15/Assumptions_SNA!$C$24)*Assumptions_SNA!$C$26</f>
        <v/>
      </c>
      <c r="W6" s="18">
        <f>('Revenue_Build'!W15/Assumptions_SNA!$C$24)*Assumptions_SNA!$C$26</f>
        <v/>
      </c>
      <c r="X6" s="18">
        <f>('Revenue_Build'!X15/Assumptions_SNA!$C$24)*Assumptions_SNA!$C$26</f>
        <v/>
      </c>
      <c r="Y6" s="18">
        <f>('Revenue_Build'!Y15/Assumptions_SNA!$C$24)*Assumptions_SNA!$C$26</f>
        <v/>
      </c>
      <c r="Z6" s="18">
        <f>('Revenue_Build'!Z15/Assumptions_SNA!$C$24)*Assumptions_SNA!$C$26</f>
        <v/>
      </c>
      <c r="AA6" s="18">
        <f>('Revenue_Build'!AA15/Assumptions_SNA!$C$24)*Assumptions_SNA!$C$26</f>
        <v/>
      </c>
      <c r="AB6" s="18">
        <f>('Revenue_Build'!AB15/Assumptions_SNA!$C$24)*Assumptions_SNA!$C$26</f>
        <v/>
      </c>
      <c r="AC6" s="18">
        <f>('Revenue_Build'!AC15/Assumptions_SNA!$C$24)*Assumptions_SNA!$C$26</f>
        <v/>
      </c>
      <c r="AD6" s="18">
        <f>('Revenue_Build'!AD15/Assumptions_SNA!$C$24)*Assumptions_SNA!$C$26</f>
        <v/>
      </c>
      <c r="AE6" s="18">
        <f>('Revenue_Build'!AE15/Assumptions_SNA!$C$24)*Assumptions_SNA!$C$26</f>
        <v/>
      </c>
      <c r="AF6" s="18">
        <f>('Revenue_Build'!AF15/Assumptions_SNA!$C$24)*Assumptions_SNA!$C$26</f>
        <v/>
      </c>
      <c r="AG6" s="18">
        <f>('Revenue_Build'!AG15/Assumptions_SNA!$C$24)*Assumptions_SNA!$C$26</f>
        <v/>
      </c>
      <c r="AH6" s="18">
        <f>('Revenue_Build'!AH15/Assumptions_SNA!$C$24)*Assumptions_SNA!$C$26</f>
        <v/>
      </c>
      <c r="AI6" s="18">
        <f>('Revenue_Build'!AI15/Assumptions_SNA!$C$24)*Assumptions_SNA!$C$26</f>
        <v/>
      </c>
      <c r="AJ6" s="18">
        <f>('Revenue_Build'!AJ15/Assumptions_SNA!$C$24)*Assumptions_SNA!$C$26</f>
        <v/>
      </c>
      <c r="AK6" s="18">
        <f>('Revenue_Build'!AK15/Assumptions_SNA!$C$24)*Assumptions_SNA!$C$26</f>
        <v/>
      </c>
      <c r="AL6" s="18">
        <f>('Revenue_Build'!AL15/Assumptions_SNA!$C$24)*Assumptions_SNA!$C$26</f>
        <v/>
      </c>
      <c r="AM6" s="18">
        <f>('Revenue_Build'!AM15/Assumptions_SNA!$C$24)*Assumptions_SNA!$C$26</f>
        <v/>
      </c>
      <c r="AN6" s="18">
        <f>('Revenue_Build'!AN15/Assumptions_SNA!$C$24)*Assumptions_SNA!$C$26</f>
        <v/>
      </c>
      <c r="AO6" s="18">
        <f>('Revenue_Build'!AO15/Assumptions_SNA!$C$24)*Assumptions_SNA!$C$26</f>
        <v/>
      </c>
      <c r="AP6" s="18">
        <f>('Revenue_Build'!AP15/Assumptions_SNA!$C$24)*Assumptions_SNA!$C$26</f>
        <v/>
      </c>
      <c r="AQ6" s="18">
        <f>('Revenue_Build'!AQ15/Assumptions_SNA!$C$24)*Assumptions_SNA!$C$26</f>
        <v/>
      </c>
      <c r="AR6" s="18">
        <f>('Revenue_Build'!AR15/Assumptions_SNA!$C$24)*Assumptions_SNA!$C$26</f>
        <v/>
      </c>
      <c r="AS6" s="18">
        <f>('Revenue_Build'!AS15/Assumptions_SNA!$C$24)*Assumptions_SNA!$C$26</f>
        <v/>
      </c>
      <c r="AT6" s="18">
        <f>('Revenue_Build'!AT15/Assumptions_SNA!$C$24)*Assumptions_SNA!$C$26</f>
        <v/>
      </c>
      <c r="AU6" s="18">
        <f>('Revenue_Build'!AU15/Assumptions_SNA!$C$24)*Assumptions_SNA!$C$26</f>
        <v/>
      </c>
      <c r="AV6" s="18">
        <f>('Revenue_Build'!AV15/Assumptions_SNA!$C$24)*Assumptions_SNA!$C$26</f>
        <v/>
      </c>
      <c r="AW6" s="18">
        <f>('Revenue_Build'!AW15/Assumptions_SNA!$C$24)*Assumptions_SNA!$C$26</f>
        <v/>
      </c>
      <c r="AX6" s="18">
        <f>('Revenue_Build'!AX15/Assumptions_SNA!$C$24)*Assumptions_SNA!$C$26</f>
        <v/>
      </c>
      <c r="AY6" s="18">
        <f>('Revenue_Build'!AY15/Assumptions_SNA!$C$24)*Assumptions_SNA!$C$26</f>
        <v/>
      </c>
      <c r="AZ6" s="18">
        <f>('Revenue_Build'!AZ15/Assumptions_SNA!$C$24)*Assumptions_SNA!$C$26</f>
        <v/>
      </c>
      <c r="BA6" s="18">
        <f>('Revenue_Build'!BA15/Assumptions_SNA!$C$24)*Assumptions_SNA!$C$26</f>
        <v/>
      </c>
      <c r="BB6" s="18">
        <f>('Revenue_Build'!BB15/Assumptions_SNA!$C$24)*Assumptions_SNA!$C$26</f>
        <v/>
      </c>
      <c r="BC6" s="18">
        <f>('Revenue_Build'!BC15/Assumptions_SNA!$C$24)*Assumptions_SNA!$C$26</f>
        <v/>
      </c>
      <c r="BD6" s="18">
        <f>('Revenue_Build'!BD15/Assumptions_SNA!$C$24)*Assumptions_SNA!$C$26</f>
        <v/>
      </c>
      <c r="BE6" s="18">
        <f>('Revenue_Build'!BE15/Assumptions_SNA!$C$24)*Assumptions_SNA!$C$26</f>
        <v/>
      </c>
      <c r="BF6" s="18">
        <f>('Revenue_Build'!BF15/Assumptions_SNA!$C$24)*Assumptions_SNA!$C$26</f>
        <v/>
      </c>
      <c r="BG6" s="18">
        <f>('Revenue_Build'!BG15/Assumptions_SNA!$C$24)*Assumptions_SNA!$C$26</f>
        <v/>
      </c>
      <c r="BH6" s="18">
        <f>('Revenue_Build'!BH15/Assumptions_SNA!$C$24)*Assumptions_SNA!$C$26</f>
        <v/>
      </c>
      <c r="BI6" s="18">
        <f>('Revenue_Build'!BI15/Assumptions_SNA!$C$24)*Assumptions_SNA!$C$26</f>
        <v/>
      </c>
      <c r="BJ6" s="18">
        <f>('Revenue_Build'!BJ15/Assumptions_SNA!$C$24)*Assumptions_SNA!$C$26</f>
        <v/>
      </c>
    </row>
    <row r="7">
      <c r="B7" s="3" t="inlineStr">
        <is>
          <t>GROSS PROFIT</t>
        </is>
      </c>
      <c r="C7" s="18">
        <f>C5-C6</f>
        <v/>
      </c>
      <c r="D7" s="18">
        <f>D5-D6</f>
        <v/>
      </c>
      <c r="E7" s="18">
        <f>E5-E6</f>
        <v/>
      </c>
      <c r="F7" s="18">
        <f>F5-F6</f>
        <v/>
      </c>
      <c r="G7" s="18">
        <f>G5-G6</f>
        <v/>
      </c>
      <c r="H7" s="18">
        <f>H5-H6</f>
        <v/>
      </c>
      <c r="I7" s="18">
        <f>I5-I6</f>
        <v/>
      </c>
      <c r="J7" s="18">
        <f>J5-J6</f>
        <v/>
      </c>
      <c r="K7" s="18">
        <f>K5-K6</f>
        <v/>
      </c>
      <c r="L7" s="18">
        <f>L5-L6</f>
        <v/>
      </c>
      <c r="M7" s="18">
        <f>M5-M6</f>
        <v/>
      </c>
      <c r="N7" s="18">
        <f>N5-N6</f>
        <v/>
      </c>
      <c r="O7" s="18">
        <f>O5-O6</f>
        <v/>
      </c>
      <c r="P7" s="18">
        <f>P5-P6</f>
        <v/>
      </c>
      <c r="Q7" s="18">
        <f>Q5-Q6</f>
        <v/>
      </c>
      <c r="R7" s="18">
        <f>R5-R6</f>
        <v/>
      </c>
      <c r="S7" s="18">
        <f>S5-S6</f>
        <v/>
      </c>
      <c r="T7" s="18">
        <f>T5-T6</f>
        <v/>
      </c>
      <c r="U7" s="18">
        <f>U5-U6</f>
        <v/>
      </c>
      <c r="V7" s="18">
        <f>V5-V6</f>
        <v/>
      </c>
      <c r="W7" s="18">
        <f>W5-W6</f>
        <v/>
      </c>
      <c r="X7" s="18">
        <f>X5-X6</f>
        <v/>
      </c>
      <c r="Y7" s="18">
        <f>Y5-Y6</f>
        <v/>
      </c>
      <c r="Z7" s="18">
        <f>Z5-Z6</f>
        <v/>
      </c>
      <c r="AA7" s="18">
        <f>AA5-AA6</f>
        <v/>
      </c>
      <c r="AB7" s="18">
        <f>AB5-AB6</f>
        <v/>
      </c>
      <c r="AC7" s="18">
        <f>AC5-AC6</f>
        <v/>
      </c>
      <c r="AD7" s="18">
        <f>AD5-AD6</f>
        <v/>
      </c>
      <c r="AE7" s="18">
        <f>AE5-AE6</f>
        <v/>
      </c>
      <c r="AF7" s="18">
        <f>AF5-AF6</f>
        <v/>
      </c>
      <c r="AG7" s="18">
        <f>AG5-AG6</f>
        <v/>
      </c>
      <c r="AH7" s="18">
        <f>AH5-AH6</f>
        <v/>
      </c>
      <c r="AI7" s="18">
        <f>AI5-AI6</f>
        <v/>
      </c>
      <c r="AJ7" s="18">
        <f>AJ5-AJ6</f>
        <v/>
      </c>
      <c r="AK7" s="18">
        <f>AK5-AK6</f>
        <v/>
      </c>
      <c r="AL7" s="18">
        <f>AL5-AL6</f>
        <v/>
      </c>
      <c r="AM7" s="18">
        <f>AM5-AM6</f>
        <v/>
      </c>
      <c r="AN7" s="18">
        <f>AN5-AN6</f>
        <v/>
      </c>
      <c r="AO7" s="18">
        <f>AO5-AO6</f>
        <v/>
      </c>
      <c r="AP7" s="18">
        <f>AP5-AP6</f>
        <v/>
      </c>
      <c r="AQ7" s="18">
        <f>AQ5-AQ6</f>
        <v/>
      </c>
      <c r="AR7" s="18">
        <f>AR5-AR6</f>
        <v/>
      </c>
      <c r="AS7" s="18">
        <f>AS5-AS6</f>
        <v/>
      </c>
      <c r="AT7" s="18">
        <f>AT5-AT6</f>
        <v/>
      </c>
      <c r="AU7" s="18">
        <f>AU5-AU6</f>
        <v/>
      </c>
      <c r="AV7" s="18">
        <f>AV5-AV6</f>
        <v/>
      </c>
      <c r="AW7" s="18">
        <f>AW5-AW6</f>
        <v/>
      </c>
      <c r="AX7" s="18">
        <f>AX5-AX6</f>
        <v/>
      </c>
      <c r="AY7" s="18">
        <f>AY5-AY6</f>
        <v/>
      </c>
      <c r="AZ7" s="18">
        <f>AZ5-AZ6</f>
        <v/>
      </c>
      <c r="BA7" s="18">
        <f>BA5-BA6</f>
        <v/>
      </c>
      <c r="BB7" s="18">
        <f>BB5-BB6</f>
        <v/>
      </c>
      <c r="BC7" s="18">
        <f>BC5-BC6</f>
        <v/>
      </c>
      <c r="BD7" s="18">
        <f>BD5-BD6</f>
        <v/>
      </c>
      <c r="BE7" s="18">
        <f>BE5-BE6</f>
        <v/>
      </c>
      <c r="BF7" s="18">
        <f>BF5-BF6</f>
        <v/>
      </c>
      <c r="BG7" s="18">
        <f>BG5-BG6</f>
        <v/>
      </c>
      <c r="BH7" s="18">
        <f>BH5-BH6</f>
        <v/>
      </c>
      <c r="BI7" s="18">
        <f>BI5-BI6</f>
        <v/>
      </c>
      <c r="BJ7" s="18">
        <f>BJ5-BJ6</f>
        <v/>
      </c>
    </row>
    <row r="8">
      <c r="B8" t="inlineStr">
        <is>
          <t>Operating Expenses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>
      <c r="B9" t="inlineStr">
        <is>
          <t>Sales &amp; Marketing</t>
        </is>
      </c>
      <c r="C9" s="18">
        <f>C5*Assumptions_SNA!$C$25 + 10000</f>
        <v/>
      </c>
      <c r="D9" s="18">
        <f>D5*Assumptions_SNA!$C$25 + 10000</f>
        <v/>
      </c>
      <c r="E9" s="18">
        <f>E5*Assumptions_SNA!$C$25 + 10000</f>
        <v/>
      </c>
      <c r="F9" s="18">
        <f>F5*Assumptions_SNA!$C$25 + 10000</f>
        <v/>
      </c>
      <c r="G9" s="18">
        <f>G5*Assumptions_SNA!$C$25 + 10000</f>
        <v/>
      </c>
      <c r="H9" s="18">
        <f>H5*Assumptions_SNA!$C$25 + 10000</f>
        <v/>
      </c>
      <c r="I9" s="18">
        <f>I5*Assumptions_SNA!$C$25 + 10000</f>
        <v/>
      </c>
      <c r="J9" s="18">
        <f>J5*Assumptions_SNA!$C$25 + 10000</f>
        <v/>
      </c>
      <c r="K9" s="18">
        <f>K5*Assumptions_SNA!$C$25 + 10000</f>
        <v/>
      </c>
      <c r="L9" s="18">
        <f>L5*Assumptions_SNA!$C$25 + 10000</f>
        <v/>
      </c>
      <c r="M9" s="18">
        <f>M5*Assumptions_SNA!$C$25 + 10000</f>
        <v/>
      </c>
      <c r="N9" s="18">
        <f>N5*Assumptions_SNA!$C$25 + 10000</f>
        <v/>
      </c>
      <c r="O9" s="18">
        <f>O5*Assumptions_SNA!$C$25 + 10000</f>
        <v/>
      </c>
      <c r="P9" s="18">
        <f>P5*Assumptions_SNA!$C$25 + 10000</f>
        <v/>
      </c>
      <c r="Q9" s="18">
        <f>Q5*Assumptions_SNA!$C$25 + 10000</f>
        <v/>
      </c>
      <c r="R9" s="18">
        <f>R5*Assumptions_SNA!$C$25 + 10000</f>
        <v/>
      </c>
      <c r="S9" s="18">
        <f>S5*Assumptions_SNA!$C$25 + 10000</f>
        <v/>
      </c>
      <c r="T9" s="18">
        <f>T5*Assumptions_SNA!$C$25 + 10000</f>
        <v/>
      </c>
      <c r="U9" s="18">
        <f>U5*Assumptions_SNA!$C$25 + 10000</f>
        <v/>
      </c>
      <c r="V9" s="18">
        <f>V5*Assumptions_SNA!$C$25 + 10000</f>
        <v/>
      </c>
      <c r="W9" s="18">
        <f>W5*Assumptions_SNA!$C$25 + 10000</f>
        <v/>
      </c>
      <c r="X9" s="18">
        <f>X5*Assumptions_SNA!$C$25 + 10000</f>
        <v/>
      </c>
      <c r="Y9" s="18">
        <f>Y5*Assumptions_SNA!$C$25 + 10000</f>
        <v/>
      </c>
      <c r="Z9" s="18">
        <f>Z5*Assumptions_SNA!$C$25 + 10000</f>
        <v/>
      </c>
      <c r="AA9" s="18">
        <f>AA5*Assumptions_SNA!$C$25 + 10000</f>
        <v/>
      </c>
      <c r="AB9" s="18">
        <f>AB5*Assumptions_SNA!$C$25 + 10000</f>
        <v/>
      </c>
      <c r="AC9" s="18">
        <f>AC5*Assumptions_SNA!$C$25 + 10000</f>
        <v/>
      </c>
      <c r="AD9" s="18">
        <f>AD5*Assumptions_SNA!$C$25 + 10000</f>
        <v/>
      </c>
      <c r="AE9" s="18">
        <f>AE5*Assumptions_SNA!$C$25 + 10000</f>
        <v/>
      </c>
      <c r="AF9" s="18">
        <f>AF5*Assumptions_SNA!$C$25 + 10000</f>
        <v/>
      </c>
      <c r="AG9" s="18">
        <f>AG5*Assumptions_SNA!$C$25 + 10000</f>
        <v/>
      </c>
      <c r="AH9" s="18">
        <f>AH5*Assumptions_SNA!$C$25 + 10000</f>
        <v/>
      </c>
      <c r="AI9" s="18">
        <f>AI5*Assumptions_SNA!$C$25 + 10000</f>
        <v/>
      </c>
      <c r="AJ9" s="18">
        <f>AJ5*Assumptions_SNA!$C$25 + 10000</f>
        <v/>
      </c>
      <c r="AK9" s="18">
        <f>AK5*Assumptions_SNA!$C$25 + 10000</f>
        <v/>
      </c>
      <c r="AL9" s="18">
        <f>AL5*Assumptions_SNA!$C$25 + 10000</f>
        <v/>
      </c>
      <c r="AM9" s="18">
        <f>AM5*Assumptions_SNA!$C$25 + 10000</f>
        <v/>
      </c>
      <c r="AN9" s="18">
        <f>AN5*Assumptions_SNA!$C$25 + 10000</f>
        <v/>
      </c>
      <c r="AO9" s="18">
        <f>AO5*Assumptions_SNA!$C$25 + 10000</f>
        <v/>
      </c>
      <c r="AP9" s="18">
        <f>AP5*Assumptions_SNA!$C$25 + 10000</f>
        <v/>
      </c>
      <c r="AQ9" s="18">
        <f>AQ5*Assumptions_SNA!$C$25 + 10000</f>
        <v/>
      </c>
      <c r="AR9" s="18">
        <f>AR5*Assumptions_SNA!$C$25 + 10000</f>
        <v/>
      </c>
      <c r="AS9" s="18">
        <f>AS5*Assumptions_SNA!$C$25 + 10000</f>
        <v/>
      </c>
      <c r="AT9" s="18">
        <f>AT5*Assumptions_SNA!$C$25 + 10000</f>
        <v/>
      </c>
      <c r="AU9" s="18">
        <f>AU5*Assumptions_SNA!$C$25 + 10000</f>
        <v/>
      </c>
      <c r="AV9" s="18">
        <f>AV5*Assumptions_SNA!$C$25 + 10000</f>
        <v/>
      </c>
      <c r="AW9" s="18">
        <f>AW5*Assumptions_SNA!$C$25 + 10000</f>
        <v/>
      </c>
      <c r="AX9" s="18">
        <f>AX5*Assumptions_SNA!$C$25 + 10000</f>
        <v/>
      </c>
      <c r="AY9" s="18">
        <f>AY5*Assumptions_SNA!$C$25 + 10000</f>
        <v/>
      </c>
      <c r="AZ9" s="18">
        <f>AZ5*Assumptions_SNA!$C$25 + 10000</f>
        <v/>
      </c>
      <c r="BA9" s="18">
        <f>BA5*Assumptions_SNA!$C$25 + 10000</f>
        <v/>
      </c>
      <c r="BB9" s="18">
        <f>BB5*Assumptions_SNA!$C$25 + 10000</f>
        <v/>
      </c>
      <c r="BC9" s="18">
        <f>BC5*Assumptions_SNA!$C$25 + 10000</f>
        <v/>
      </c>
      <c r="BD9" s="18">
        <f>BD5*Assumptions_SNA!$C$25 + 10000</f>
        <v/>
      </c>
      <c r="BE9" s="18">
        <f>BE5*Assumptions_SNA!$C$25 + 10000</f>
        <v/>
      </c>
      <c r="BF9" s="18">
        <f>BF5*Assumptions_SNA!$C$25 + 10000</f>
        <v/>
      </c>
      <c r="BG9" s="18">
        <f>BG5*Assumptions_SNA!$C$25 + 10000</f>
        <v/>
      </c>
      <c r="BH9" s="18">
        <f>BH5*Assumptions_SNA!$C$25 + 10000</f>
        <v/>
      </c>
      <c r="BI9" s="18">
        <f>BI5*Assumptions_SNA!$C$25 + 10000</f>
        <v/>
      </c>
      <c r="BJ9" s="18">
        <f>BJ5*Assumptions_SNA!$C$25 + 10000</f>
        <v/>
      </c>
    </row>
    <row r="10">
      <c r="B10" t="inlineStr">
        <is>
          <t>Research &amp; Development</t>
        </is>
      </c>
      <c r="C10" s="10" t="n">
        <v>25000</v>
      </c>
      <c r="D10" s="10" t="n">
        <v>25000</v>
      </c>
      <c r="E10" s="10" t="n">
        <v>25000</v>
      </c>
      <c r="F10" s="10" t="n">
        <v>25000</v>
      </c>
      <c r="G10" s="10" t="n">
        <v>25000</v>
      </c>
      <c r="H10" s="10" t="n">
        <v>25000</v>
      </c>
      <c r="I10" s="10" t="n">
        <v>25000</v>
      </c>
      <c r="J10" s="10" t="n">
        <v>25000</v>
      </c>
      <c r="K10" s="10" t="n">
        <v>25000</v>
      </c>
      <c r="L10" s="10" t="n">
        <v>25000</v>
      </c>
      <c r="M10" s="10" t="n">
        <v>25000</v>
      </c>
      <c r="N10" s="10" t="n">
        <v>25000</v>
      </c>
      <c r="O10" s="10" t="n">
        <v>25000</v>
      </c>
      <c r="P10" s="10" t="n">
        <v>25000</v>
      </c>
      <c r="Q10" s="10" t="n">
        <v>25000</v>
      </c>
      <c r="R10" s="10" t="n">
        <v>25000</v>
      </c>
      <c r="S10" s="10" t="n">
        <v>25000</v>
      </c>
      <c r="T10" s="10" t="n">
        <v>25000</v>
      </c>
      <c r="U10" s="10" t="n">
        <v>25000</v>
      </c>
      <c r="V10" s="10" t="n">
        <v>25000</v>
      </c>
      <c r="W10" s="10" t="n">
        <v>25000</v>
      </c>
      <c r="X10" s="10" t="n">
        <v>25000</v>
      </c>
      <c r="Y10" s="10" t="n">
        <v>25000</v>
      </c>
      <c r="Z10" s="10" t="n">
        <v>25000</v>
      </c>
      <c r="AA10" s="10" t="n">
        <v>25000</v>
      </c>
      <c r="AB10" s="10" t="n">
        <v>25000</v>
      </c>
      <c r="AC10" s="10" t="n">
        <v>25000</v>
      </c>
      <c r="AD10" s="10" t="n">
        <v>25000</v>
      </c>
      <c r="AE10" s="10" t="n">
        <v>25000</v>
      </c>
      <c r="AF10" s="10" t="n">
        <v>25000</v>
      </c>
      <c r="AG10" s="10" t="n">
        <v>25000</v>
      </c>
      <c r="AH10" s="10" t="n">
        <v>25000</v>
      </c>
      <c r="AI10" s="10" t="n">
        <v>25000</v>
      </c>
      <c r="AJ10" s="10" t="n">
        <v>25000</v>
      </c>
      <c r="AK10" s="10" t="n">
        <v>25000</v>
      </c>
      <c r="AL10" s="10" t="n">
        <v>25000</v>
      </c>
      <c r="AM10" s="10" t="n">
        <v>25000</v>
      </c>
      <c r="AN10" s="10" t="n">
        <v>25000</v>
      </c>
      <c r="AO10" s="10" t="n">
        <v>25000</v>
      </c>
      <c r="AP10" s="10" t="n">
        <v>25000</v>
      </c>
      <c r="AQ10" s="10" t="n">
        <v>25000</v>
      </c>
      <c r="AR10" s="10" t="n">
        <v>25000</v>
      </c>
      <c r="AS10" s="10" t="n">
        <v>25000</v>
      </c>
      <c r="AT10" s="10" t="n">
        <v>25000</v>
      </c>
      <c r="AU10" s="10" t="n">
        <v>25000</v>
      </c>
      <c r="AV10" s="10" t="n">
        <v>25000</v>
      </c>
      <c r="AW10" s="10" t="n">
        <v>25000</v>
      </c>
      <c r="AX10" s="10" t="n">
        <v>25000</v>
      </c>
      <c r="AY10" s="10" t="n">
        <v>25000</v>
      </c>
      <c r="AZ10" s="10" t="n">
        <v>25000</v>
      </c>
      <c r="BA10" s="10" t="n">
        <v>25000</v>
      </c>
      <c r="BB10" s="10" t="n">
        <v>25000</v>
      </c>
      <c r="BC10" s="10" t="n">
        <v>25000</v>
      </c>
      <c r="BD10" s="10" t="n">
        <v>25000</v>
      </c>
      <c r="BE10" s="10" t="n">
        <v>25000</v>
      </c>
      <c r="BF10" s="10" t="n">
        <v>25000</v>
      </c>
      <c r="BG10" s="10" t="n">
        <v>25000</v>
      </c>
      <c r="BH10" s="10" t="n">
        <v>25000</v>
      </c>
      <c r="BI10" s="10" t="n">
        <v>25000</v>
      </c>
      <c r="BJ10" s="10" t="n">
        <v>25000</v>
      </c>
    </row>
    <row r="11">
      <c r="B11" t="inlineStr">
        <is>
          <t>General &amp; Admin</t>
        </is>
      </c>
      <c r="C11" s="10" t="n">
        <v>15000</v>
      </c>
      <c r="D11" s="10" t="n">
        <v>15000</v>
      </c>
      <c r="E11" s="10" t="n">
        <v>15000</v>
      </c>
      <c r="F11" s="10" t="n">
        <v>15000</v>
      </c>
      <c r="G11" s="10" t="n">
        <v>15000</v>
      </c>
      <c r="H11" s="10" t="n">
        <v>15000</v>
      </c>
      <c r="I11" s="10" t="n">
        <v>15000</v>
      </c>
      <c r="J11" s="10" t="n">
        <v>15000</v>
      </c>
      <c r="K11" s="10" t="n">
        <v>15000</v>
      </c>
      <c r="L11" s="10" t="n">
        <v>15000</v>
      </c>
      <c r="M11" s="10" t="n">
        <v>15000</v>
      </c>
      <c r="N11" s="10" t="n">
        <v>15000</v>
      </c>
      <c r="O11" s="10" t="n">
        <v>15000</v>
      </c>
      <c r="P11" s="10" t="n">
        <v>15000</v>
      </c>
      <c r="Q11" s="10" t="n">
        <v>15000</v>
      </c>
      <c r="R11" s="10" t="n">
        <v>15000</v>
      </c>
      <c r="S11" s="10" t="n">
        <v>15000</v>
      </c>
      <c r="T11" s="10" t="n">
        <v>15000</v>
      </c>
      <c r="U11" s="10" t="n">
        <v>15000</v>
      </c>
      <c r="V11" s="10" t="n">
        <v>15000</v>
      </c>
      <c r="W11" s="10" t="n">
        <v>15000</v>
      </c>
      <c r="X11" s="10" t="n">
        <v>15000</v>
      </c>
      <c r="Y11" s="10" t="n">
        <v>15000</v>
      </c>
      <c r="Z11" s="10" t="n">
        <v>15000</v>
      </c>
      <c r="AA11" s="10" t="n">
        <v>15000</v>
      </c>
      <c r="AB11" s="10" t="n">
        <v>15000</v>
      </c>
      <c r="AC11" s="10" t="n">
        <v>15000</v>
      </c>
      <c r="AD11" s="10" t="n">
        <v>15000</v>
      </c>
      <c r="AE11" s="10" t="n">
        <v>15000</v>
      </c>
      <c r="AF11" s="10" t="n">
        <v>15000</v>
      </c>
      <c r="AG11" s="10" t="n">
        <v>15000</v>
      </c>
      <c r="AH11" s="10" t="n">
        <v>15000</v>
      </c>
      <c r="AI11" s="10" t="n">
        <v>15000</v>
      </c>
      <c r="AJ11" s="10" t="n">
        <v>15000</v>
      </c>
      <c r="AK11" s="10" t="n">
        <v>15000</v>
      </c>
      <c r="AL11" s="10" t="n">
        <v>15000</v>
      </c>
      <c r="AM11" s="10" t="n">
        <v>15000</v>
      </c>
      <c r="AN11" s="10" t="n">
        <v>15000</v>
      </c>
      <c r="AO11" s="10" t="n">
        <v>15000</v>
      </c>
      <c r="AP11" s="10" t="n">
        <v>15000</v>
      </c>
      <c r="AQ11" s="10" t="n">
        <v>15000</v>
      </c>
      <c r="AR11" s="10" t="n">
        <v>15000</v>
      </c>
      <c r="AS11" s="10" t="n">
        <v>15000</v>
      </c>
      <c r="AT11" s="10" t="n">
        <v>15000</v>
      </c>
      <c r="AU11" s="10" t="n">
        <v>15000</v>
      </c>
      <c r="AV11" s="10" t="n">
        <v>15000</v>
      </c>
      <c r="AW11" s="10" t="n">
        <v>15000</v>
      </c>
      <c r="AX11" s="10" t="n">
        <v>15000</v>
      </c>
      <c r="AY11" s="10" t="n">
        <v>15000</v>
      </c>
      <c r="AZ11" s="10" t="n">
        <v>15000</v>
      </c>
      <c r="BA11" s="10" t="n">
        <v>15000</v>
      </c>
      <c r="BB11" s="10" t="n">
        <v>15000</v>
      </c>
      <c r="BC11" s="10" t="n">
        <v>15000</v>
      </c>
      <c r="BD11" s="10" t="n">
        <v>15000</v>
      </c>
      <c r="BE11" s="10" t="n">
        <v>15000</v>
      </c>
      <c r="BF11" s="10" t="n">
        <v>15000</v>
      </c>
      <c r="BG11" s="10" t="n">
        <v>15000</v>
      </c>
      <c r="BH11" s="10" t="n">
        <v>15000</v>
      </c>
      <c r="BI11" s="10" t="n">
        <v>15000</v>
      </c>
      <c r="BJ11" s="10" t="n">
        <v>15000</v>
      </c>
    </row>
    <row r="12">
      <c r="B12" s="3" t="inlineStr">
        <is>
          <t>TOTAL OPEX</t>
        </is>
      </c>
      <c r="C12" s="18">
        <f>SUM(C9:C11)</f>
        <v/>
      </c>
      <c r="D12" s="18">
        <f>SUM(D9:D11)</f>
        <v/>
      </c>
      <c r="E12" s="18">
        <f>SUM(E9:E11)</f>
        <v/>
      </c>
      <c r="F12" s="18">
        <f>SUM(F9:F11)</f>
        <v/>
      </c>
      <c r="G12" s="18">
        <f>SUM(G9:G11)</f>
        <v/>
      </c>
      <c r="H12" s="18">
        <f>SUM(H9:H11)</f>
        <v/>
      </c>
      <c r="I12" s="18">
        <f>SUM(I9:I11)</f>
        <v/>
      </c>
      <c r="J12" s="18">
        <f>SUM(J9:J11)</f>
        <v/>
      </c>
      <c r="K12" s="18">
        <f>SUM(K9:K11)</f>
        <v/>
      </c>
      <c r="L12" s="18">
        <f>SUM(L9:L11)</f>
        <v/>
      </c>
      <c r="M12" s="18">
        <f>SUM(M9:M11)</f>
        <v/>
      </c>
      <c r="N12" s="18">
        <f>SUM(N9:N11)</f>
        <v/>
      </c>
      <c r="O12" s="18">
        <f>SUM(O9:O11)</f>
        <v/>
      </c>
      <c r="P12" s="18">
        <f>SUM(P9:P11)</f>
        <v/>
      </c>
      <c r="Q12" s="18">
        <f>SUM(Q9:Q11)</f>
        <v/>
      </c>
      <c r="R12" s="18">
        <f>SUM(R9:R11)</f>
        <v/>
      </c>
      <c r="S12" s="18">
        <f>SUM(S9:S11)</f>
        <v/>
      </c>
      <c r="T12" s="18">
        <f>SUM(T9:T11)</f>
        <v/>
      </c>
      <c r="U12" s="18">
        <f>SUM(U9:U11)</f>
        <v/>
      </c>
      <c r="V12" s="18">
        <f>SUM(V9:V11)</f>
        <v/>
      </c>
      <c r="W12" s="18">
        <f>SUM(W9:W11)</f>
        <v/>
      </c>
      <c r="X12" s="18">
        <f>SUM(X9:X11)</f>
        <v/>
      </c>
      <c r="Y12" s="18">
        <f>SUM(Y9:Y11)</f>
        <v/>
      </c>
      <c r="Z12" s="18">
        <f>SUM(Z9:Z11)</f>
        <v/>
      </c>
      <c r="AA12" s="18">
        <f>SUM(AA9:AA11)</f>
        <v/>
      </c>
      <c r="AB12" s="18">
        <f>SUM(AB9:AB11)</f>
        <v/>
      </c>
      <c r="AC12" s="18">
        <f>SUM(AC9:AC11)</f>
        <v/>
      </c>
      <c r="AD12" s="18">
        <f>SUM(AD9:AD11)</f>
        <v/>
      </c>
      <c r="AE12" s="18">
        <f>SUM(AE9:AE11)</f>
        <v/>
      </c>
      <c r="AF12" s="18">
        <f>SUM(AF9:AF11)</f>
        <v/>
      </c>
      <c r="AG12" s="18">
        <f>SUM(AG9:AG11)</f>
        <v/>
      </c>
      <c r="AH12" s="18">
        <f>SUM(AH9:AH11)</f>
        <v/>
      </c>
      <c r="AI12" s="18">
        <f>SUM(AI9:AI11)</f>
        <v/>
      </c>
      <c r="AJ12" s="18">
        <f>SUM(AJ9:AJ11)</f>
        <v/>
      </c>
      <c r="AK12" s="18">
        <f>SUM(AK9:AK11)</f>
        <v/>
      </c>
      <c r="AL12" s="18">
        <f>SUM(AL9:AL11)</f>
        <v/>
      </c>
      <c r="AM12" s="18">
        <f>SUM(AM9:AM11)</f>
        <v/>
      </c>
      <c r="AN12" s="18">
        <f>SUM(AN9:AN11)</f>
        <v/>
      </c>
      <c r="AO12" s="18">
        <f>SUM(AO9:AO11)</f>
        <v/>
      </c>
      <c r="AP12" s="18">
        <f>SUM(AP9:AP11)</f>
        <v/>
      </c>
      <c r="AQ12" s="18">
        <f>SUM(AQ9:AQ11)</f>
        <v/>
      </c>
      <c r="AR12" s="18">
        <f>SUM(AR9:AR11)</f>
        <v/>
      </c>
      <c r="AS12" s="18">
        <f>SUM(AS9:AS11)</f>
        <v/>
      </c>
      <c r="AT12" s="18">
        <f>SUM(AT9:AT11)</f>
        <v/>
      </c>
      <c r="AU12" s="18">
        <f>SUM(AU9:AU11)</f>
        <v/>
      </c>
      <c r="AV12" s="18">
        <f>SUM(AV9:AV11)</f>
        <v/>
      </c>
      <c r="AW12" s="18">
        <f>SUM(AW9:AW11)</f>
        <v/>
      </c>
      <c r="AX12" s="18">
        <f>SUM(AX9:AX11)</f>
        <v/>
      </c>
      <c r="AY12" s="18">
        <f>SUM(AY9:AY11)</f>
        <v/>
      </c>
      <c r="AZ12" s="18">
        <f>SUM(AZ9:AZ11)</f>
        <v/>
      </c>
      <c r="BA12" s="18">
        <f>SUM(BA9:BA11)</f>
        <v/>
      </c>
      <c r="BB12" s="18">
        <f>SUM(BB9:BB11)</f>
        <v/>
      </c>
      <c r="BC12" s="18">
        <f>SUM(BC9:BC11)</f>
        <v/>
      </c>
      <c r="BD12" s="18">
        <f>SUM(BD9:BD11)</f>
        <v/>
      </c>
      <c r="BE12" s="18">
        <f>SUM(BE9:BE11)</f>
        <v/>
      </c>
      <c r="BF12" s="18">
        <f>SUM(BF9:BF11)</f>
        <v/>
      </c>
      <c r="BG12" s="18">
        <f>SUM(BG9:BG11)</f>
        <v/>
      </c>
      <c r="BH12" s="18">
        <f>SUM(BH9:BH11)</f>
        <v/>
      </c>
      <c r="BI12" s="18">
        <f>SUM(BI9:BI11)</f>
        <v/>
      </c>
      <c r="BJ12" s="18">
        <f>SUM(BJ9:BJ11)</f>
        <v/>
      </c>
    </row>
    <row r="13">
      <c r="B13" s="3" t="inlineStr">
        <is>
          <t>EBITDA</t>
        </is>
      </c>
      <c r="C13" s="18">
        <f>C7-C12</f>
        <v/>
      </c>
      <c r="D13" s="18">
        <f>D7-D12</f>
        <v/>
      </c>
      <c r="E13" s="18">
        <f>E7-E12</f>
        <v/>
      </c>
      <c r="F13" s="18">
        <f>F7-F12</f>
        <v/>
      </c>
      <c r="G13" s="18">
        <f>G7-G12</f>
        <v/>
      </c>
      <c r="H13" s="18">
        <f>H7-H12</f>
        <v/>
      </c>
      <c r="I13" s="18">
        <f>I7-I12</f>
        <v/>
      </c>
      <c r="J13" s="18">
        <f>J7-J12</f>
        <v/>
      </c>
      <c r="K13" s="18">
        <f>K7-K12</f>
        <v/>
      </c>
      <c r="L13" s="18">
        <f>L7-L12</f>
        <v/>
      </c>
      <c r="M13" s="18">
        <f>M7-M12</f>
        <v/>
      </c>
      <c r="N13" s="18">
        <f>N7-N12</f>
        <v/>
      </c>
      <c r="O13" s="18">
        <f>O7-O12</f>
        <v/>
      </c>
      <c r="P13" s="18">
        <f>P7-P12</f>
        <v/>
      </c>
      <c r="Q13" s="18">
        <f>Q7-Q12</f>
        <v/>
      </c>
      <c r="R13" s="18">
        <f>R7-R12</f>
        <v/>
      </c>
      <c r="S13" s="18">
        <f>S7-S12</f>
        <v/>
      </c>
      <c r="T13" s="18">
        <f>T7-T12</f>
        <v/>
      </c>
      <c r="U13" s="18">
        <f>U7-U12</f>
        <v/>
      </c>
      <c r="V13" s="18">
        <f>V7-V12</f>
        <v/>
      </c>
      <c r="W13" s="18">
        <f>W7-W12</f>
        <v/>
      </c>
      <c r="X13" s="18">
        <f>X7-X12</f>
        <v/>
      </c>
      <c r="Y13" s="18">
        <f>Y7-Y12</f>
        <v/>
      </c>
      <c r="Z13" s="18">
        <f>Z7-Z12</f>
        <v/>
      </c>
      <c r="AA13" s="18">
        <f>AA7-AA12</f>
        <v/>
      </c>
      <c r="AB13" s="18">
        <f>AB7-AB12</f>
        <v/>
      </c>
      <c r="AC13" s="18">
        <f>AC7-AC12</f>
        <v/>
      </c>
      <c r="AD13" s="18">
        <f>AD7-AD12</f>
        <v/>
      </c>
      <c r="AE13" s="18">
        <f>AE7-AE12</f>
        <v/>
      </c>
      <c r="AF13" s="18">
        <f>AF7-AF12</f>
        <v/>
      </c>
      <c r="AG13" s="18">
        <f>AG7-AG12</f>
        <v/>
      </c>
      <c r="AH13" s="18">
        <f>AH7-AH12</f>
        <v/>
      </c>
      <c r="AI13" s="18">
        <f>AI7-AI12</f>
        <v/>
      </c>
      <c r="AJ13" s="18">
        <f>AJ7-AJ12</f>
        <v/>
      </c>
      <c r="AK13" s="18">
        <f>AK7-AK12</f>
        <v/>
      </c>
      <c r="AL13" s="18">
        <f>AL7-AL12</f>
        <v/>
      </c>
      <c r="AM13" s="18">
        <f>AM7-AM12</f>
        <v/>
      </c>
      <c r="AN13" s="18">
        <f>AN7-AN12</f>
        <v/>
      </c>
      <c r="AO13" s="18">
        <f>AO7-AO12</f>
        <v/>
      </c>
      <c r="AP13" s="18">
        <f>AP7-AP12</f>
        <v/>
      </c>
      <c r="AQ13" s="18">
        <f>AQ7-AQ12</f>
        <v/>
      </c>
      <c r="AR13" s="18">
        <f>AR7-AR12</f>
        <v/>
      </c>
      <c r="AS13" s="18">
        <f>AS7-AS12</f>
        <v/>
      </c>
      <c r="AT13" s="18">
        <f>AT7-AT12</f>
        <v/>
      </c>
      <c r="AU13" s="18">
        <f>AU7-AU12</f>
        <v/>
      </c>
      <c r="AV13" s="18">
        <f>AV7-AV12</f>
        <v/>
      </c>
      <c r="AW13" s="18">
        <f>AW7-AW12</f>
        <v/>
      </c>
      <c r="AX13" s="18">
        <f>AX7-AX12</f>
        <v/>
      </c>
      <c r="AY13" s="18">
        <f>AY7-AY12</f>
        <v/>
      </c>
      <c r="AZ13" s="18">
        <f>AZ7-AZ12</f>
        <v/>
      </c>
      <c r="BA13" s="18">
        <f>BA7-BA12</f>
        <v/>
      </c>
      <c r="BB13" s="18">
        <f>BB7-BB12</f>
        <v/>
      </c>
      <c r="BC13" s="18">
        <f>BC7-BC12</f>
        <v/>
      </c>
      <c r="BD13" s="18">
        <f>BD7-BD12</f>
        <v/>
      </c>
      <c r="BE13" s="18">
        <f>BE7-BE12</f>
        <v/>
      </c>
      <c r="BF13" s="18">
        <f>BF7-BF12</f>
        <v/>
      </c>
      <c r="BG13" s="18">
        <f>BG7-BG12</f>
        <v/>
      </c>
      <c r="BH13" s="18">
        <f>BH7-BH12</f>
        <v/>
      </c>
      <c r="BI13" s="18">
        <f>BI7-BI12</f>
        <v/>
      </c>
      <c r="BJ13" s="18">
        <f>BJ7-BJ12</f>
        <v/>
      </c>
    </row>
    <row r="14">
      <c r="B14" t="inlineStr">
        <is>
          <t>Taxes (21%)</t>
        </is>
      </c>
      <c r="C14" s="18">
        <f>MAX(0, C13*0.21)</f>
        <v/>
      </c>
      <c r="D14" s="18">
        <f>MAX(0, D13*0.21)</f>
        <v/>
      </c>
      <c r="E14" s="18">
        <f>MAX(0, E13*0.21)</f>
        <v/>
      </c>
      <c r="F14" s="18">
        <f>MAX(0, F13*0.21)</f>
        <v/>
      </c>
      <c r="G14" s="18">
        <f>MAX(0, G13*0.21)</f>
        <v/>
      </c>
      <c r="H14" s="18">
        <f>MAX(0, H13*0.21)</f>
        <v/>
      </c>
      <c r="I14" s="18">
        <f>MAX(0, I13*0.21)</f>
        <v/>
      </c>
      <c r="J14" s="18">
        <f>MAX(0, J13*0.21)</f>
        <v/>
      </c>
      <c r="K14" s="18">
        <f>MAX(0, K13*0.21)</f>
        <v/>
      </c>
      <c r="L14" s="18">
        <f>MAX(0, L13*0.21)</f>
        <v/>
      </c>
      <c r="M14" s="18">
        <f>MAX(0, M13*0.21)</f>
        <v/>
      </c>
      <c r="N14" s="18">
        <f>MAX(0, N13*0.21)</f>
        <v/>
      </c>
      <c r="O14" s="18">
        <f>MAX(0, O13*0.21)</f>
        <v/>
      </c>
      <c r="P14" s="18">
        <f>MAX(0, P13*0.21)</f>
        <v/>
      </c>
      <c r="Q14" s="18">
        <f>MAX(0, Q13*0.21)</f>
        <v/>
      </c>
      <c r="R14" s="18">
        <f>MAX(0, R13*0.21)</f>
        <v/>
      </c>
      <c r="S14" s="18">
        <f>MAX(0, S13*0.21)</f>
        <v/>
      </c>
      <c r="T14" s="18">
        <f>MAX(0, T13*0.21)</f>
        <v/>
      </c>
      <c r="U14" s="18">
        <f>MAX(0, U13*0.21)</f>
        <v/>
      </c>
      <c r="V14" s="18">
        <f>MAX(0, V13*0.21)</f>
        <v/>
      </c>
      <c r="W14" s="18">
        <f>MAX(0, W13*0.21)</f>
        <v/>
      </c>
      <c r="X14" s="18">
        <f>MAX(0, X13*0.21)</f>
        <v/>
      </c>
      <c r="Y14" s="18">
        <f>MAX(0, Y13*0.21)</f>
        <v/>
      </c>
      <c r="Z14" s="18">
        <f>MAX(0, Z13*0.21)</f>
        <v/>
      </c>
      <c r="AA14" s="18">
        <f>MAX(0, AA13*0.21)</f>
        <v/>
      </c>
      <c r="AB14" s="18">
        <f>MAX(0, AB13*0.21)</f>
        <v/>
      </c>
      <c r="AC14" s="18">
        <f>MAX(0, AC13*0.21)</f>
        <v/>
      </c>
      <c r="AD14" s="18">
        <f>MAX(0, AD13*0.21)</f>
        <v/>
      </c>
      <c r="AE14" s="18">
        <f>MAX(0, AE13*0.21)</f>
        <v/>
      </c>
      <c r="AF14" s="18">
        <f>MAX(0, AF13*0.21)</f>
        <v/>
      </c>
      <c r="AG14" s="18">
        <f>MAX(0, AG13*0.21)</f>
        <v/>
      </c>
      <c r="AH14" s="18">
        <f>MAX(0, AH13*0.21)</f>
        <v/>
      </c>
      <c r="AI14" s="18">
        <f>MAX(0, AI13*0.21)</f>
        <v/>
      </c>
      <c r="AJ14" s="18">
        <f>MAX(0, AJ13*0.21)</f>
        <v/>
      </c>
      <c r="AK14" s="18">
        <f>MAX(0, AK13*0.21)</f>
        <v/>
      </c>
      <c r="AL14" s="18">
        <f>MAX(0, AL13*0.21)</f>
        <v/>
      </c>
      <c r="AM14" s="18">
        <f>MAX(0, AM13*0.21)</f>
        <v/>
      </c>
      <c r="AN14" s="18">
        <f>MAX(0, AN13*0.21)</f>
        <v/>
      </c>
      <c r="AO14" s="18">
        <f>MAX(0, AO13*0.21)</f>
        <v/>
      </c>
      <c r="AP14" s="18">
        <f>MAX(0, AP13*0.21)</f>
        <v/>
      </c>
      <c r="AQ14" s="18">
        <f>MAX(0, AQ13*0.21)</f>
        <v/>
      </c>
      <c r="AR14" s="18">
        <f>MAX(0, AR13*0.21)</f>
        <v/>
      </c>
      <c r="AS14" s="18">
        <f>MAX(0, AS13*0.21)</f>
        <v/>
      </c>
      <c r="AT14" s="18">
        <f>MAX(0, AT13*0.21)</f>
        <v/>
      </c>
      <c r="AU14" s="18">
        <f>MAX(0, AU13*0.21)</f>
        <v/>
      </c>
      <c r="AV14" s="18">
        <f>MAX(0, AV13*0.21)</f>
        <v/>
      </c>
      <c r="AW14" s="18">
        <f>MAX(0, AW13*0.21)</f>
        <v/>
      </c>
      <c r="AX14" s="18">
        <f>MAX(0, AX13*0.21)</f>
        <v/>
      </c>
      <c r="AY14" s="18">
        <f>MAX(0, AY13*0.21)</f>
        <v/>
      </c>
      <c r="AZ14" s="18">
        <f>MAX(0, AZ13*0.21)</f>
        <v/>
      </c>
      <c r="BA14" s="18">
        <f>MAX(0, BA13*0.21)</f>
        <v/>
      </c>
      <c r="BB14" s="18">
        <f>MAX(0, BB13*0.21)</f>
        <v/>
      </c>
      <c r="BC14" s="18">
        <f>MAX(0, BC13*0.21)</f>
        <v/>
      </c>
      <c r="BD14" s="18">
        <f>MAX(0, BD13*0.21)</f>
        <v/>
      </c>
      <c r="BE14" s="18">
        <f>MAX(0, BE13*0.21)</f>
        <v/>
      </c>
      <c r="BF14" s="18">
        <f>MAX(0, BF13*0.21)</f>
        <v/>
      </c>
      <c r="BG14" s="18">
        <f>MAX(0, BG13*0.21)</f>
        <v/>
      </c>
      <c r="BH14" s="18">
        <f>MAX(0, BH13*0.21)</f>
        <v/>
      </c>
      <c r="BI14" s="18">
        <f>MAX(0, BI13*0.21)</f>
        <v/>
      </c>
      <c r="BJ14" s="18">
        <f>MAX(0, BJ13*0.21)</f>
        <v/>
      </c>
    </row>
    <row r="15">
      <c r="B15" s="3" t="inlineStr">
        <is>
          <t>NET INCOME</t>
        </is>
      </c>
      <c r="C15" s="21">
        <f>C13-C14</f>
        <v/>
      </c>
      <c r="D15" s="21">
        <f>D13-D14</f>
        <v/>
      </c>
      <c r="E15" s="21">
        <f>E13-E14</f>
        <v/>
      </c>
      <c r="F15" s="21">
        <f>F13-F14</f>
        <v/>
      </c>
      <c r="G15" s="21">
        <f>G13-G14</f>
        <v/>
      </c>
      <c r="H15" s="21">
        <f>H13-H14</f>
        <v/>
      </c>
      <c r="I15" s="21">
        <f>I13-I14</f>
        <v/>
      </c>
      <c r="J15" s="21">
        <f>J13-J14</f>
        <v/>
      </c>
      <c r="K15" s="21">
        <f>K13-K14</f>
        <v/>
      </c>
      <c r="L15" s="21">
        <f>L13-L14</f>
        <v/>
      </c>
      <c r="M15" s="21">
        <f>M13-M14</f>
        <v/>
      </c>
      <c r="N15" s="21">
        <f>N13-N14</f>
        <v/>
      </c>
      <c r="O15" s="21">
        <f>O13-O14</f>
        <v/>
      </c>
      <c r="P15" s="21">
        <f>P13-P14</f>
        <v/>
      </c>
      <c r="Q15" s="21">
        <f>Q13-Q14</f>
        <v/>
      </c>
      <c r="R15" s="21">
        <f>R13-R14</f>
        <v/>
      </c>
      <c r="S15" s="21">
        <f>S13-S14</f>
        <v/>
      </c>
      <c r="T15" s="21">
        <f>T13-T14</f>
        <v/>
      </c>
      <c r="U15" s="21">
        <f>U13-U14</f>
        <v/>
      </c>
      <c r="V15" s="21">
        <f>V13-V14</f>
        <v/>
      </c>
      <c r="W15" s="21">
        <f>W13-W14</f>
        <v/>
      </c>
      <c r="X15" s="21">
        <f>X13-X14</f>
        <v/>
      </c>
      <c r="Y15" s="21">
        <f>Y13-Y14</f>
        <v/>
      </c>
      <c r="Z15" s="21">
        <f>Z13-Z14</f>
        <v/>
      </c>
      <c r="AA15" s="21">
        <f>AA13-AA14</f>
        <v/>
      </c>
      <c r="AB15" s="21">
        <f>AB13-AB14</f>
        <v/>
      </c>
      <c r="AC15" s="21">
        <f>AC13-AC14</f>
        <v/>
      </c>
      <c r="AD15" s="21">
        <f>AD13-AD14</f>
        <v/>
      </c>
      <c r="AE15" s="21">
        <f>AE13-AE14</f>
        <v/>
      </c>
      <c r="AF15" s="21">
        <f>AF13-AF14</f>
        <v/>
      </c>
      <c r="AG15" s="21">
        <f>AG13-AG14</f>
        <v/>
      </c>
      <c r="AH15" s="21">
        <f>AH13-AH14</f>
        <v/>
      </c>
      <c r="AI15" s="21">
        <f>AI13-AI14</f>
        <v/>
      </c>
      <c r="AJ15" s="21">
        <f>AJ13-AJ14</f>
        <v/>
      </c>
      <c r="AK15" s="21">
        <f>AK13-AK14</f>
        <v/>
      </c>
      <c r="AL15" s="21">
        <f>AL13-AL14</f>
        <v/>
      </c>
      <c r="AM15" s="21">
        <f>AM13-AM14</f>
        <v/>
      </c>
      <c r="AN15" s="21">
        <f>AN13-AN14</f>
        <v/>
      </c>
      <c r="AO15" s="21">
        <f>AO13-AO14</f>
        <v/>
      </c>
      <c r="AP15" s="21">
        <f>AP13-AP14</f>
        <v/>
      </c>
      <c r="AQ15" s="21">
        <f>AQ13-AQ14</f>
        <v/>
      </c>
      <c r="AR15" s="21">
        <f>AR13-AR14</f>
        <v/>
      </c>
      <c r="AS15" s="21">
        <f>AS13-AS14</f>
        <v/>
      </c>
      <c r="AT15" s="21">
        <f>AT13-AT14</f>
        <v/>
      </c>
      <c r="AU15" s="21">
        <f>AU13-AU14</f>
        <v/>
      </c>
      <c r="AV15" s="21">
        <f>AV13-AV14</f>
        <v/>
      </c>
      <c r="AW15" s="21">
        <f>AW13-AW14</f>
        <v/>
      </c>
      <c r="AX15" s="21">
        <f>AX13-AX14</f>
        <v/>
      </c>
      <c r="AY15" s="21">
        <f>AY13-AY14</f>
        <v/>
      </c>
      <c r="AZ15" s="21">
        <f>AZ13-AZ14</f>
        <v/>
      </c>
      <c r="BA15" s="21">
        <f>BA13-BA14</f>
        <v/>
      </c>
      <c r="BB15" s="21">
        <f>BB13-BB14</f>
        <v/>
      </c>
      <c r="BC15" s="21">
        <f>BC13-BC14</f>
        <v/>
      </c>
      <c r="BD15" s="21">
        <f>BD13-BD14</f>
        <v/>
      </c>
      <c r="BE15" s="21">
        <f>BE13-BE14</f>
        <v/>
      </c>
      <c r="BF15" s="21">
        <f>BF13-BF14</f>
        <v/>
      </c>
      <c r="BG15" s="21">
        <f>BG13-BG14</f>
        <v/>
      </c>
      <c r="BH15" s="21">
        <f>BH13-BH14</f>
        <v/>
      </c>
      <c r="BI15" s="21">
        <f>BI13-BI14</f>
        <v/>
      </c>
      <c r="BJ15" s="21">
        <f>BJ13-BJ14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10" customHeight="1"/>
    <row r="2">
      <c r="B2" s="5" t="inlineStr">
        <is>
          <t>EXECUTIVE KPI DASHBOARD</t>
        </is>
      </c>
    </row>
    <row r="3"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5">
      <c r="B5" t="inlineStr">
        <is>
          <t>Ending MRR</t>
        </is>
      </c>
      <c r="C5" s="20">
        <f>'Revenue_Build'!C15</f>
        <v/>
      </c>
    </row>
    <row r="6">
      <c r="B6" t="inlineStr">
        <is>
          <t>Annual Recurring Revenue (ARR)</t>
        </is>
      </c>
      <c r="C6" s="20">
        <f>'Revenue_Build'!C15*12</f>
        <v/>
      </c>
    </row>
    <row r="7">
      <c r="B7" t="inlineStr">
        <is>
          <t>Gross Margin %</t>
        </is>
      </c>
      <c r="C7" s="22">
        <f>'Financials'!C7/'Financials'!C5</f>
        <v/>
      </c>
    </row>
    <row r="8">
      <c r="B8" t="inlineStr">
        <is>
          <t>Rule of 40 (Growth + Margin)</t>
        </is>
      </c>
      <c r="C8" s="22">
        <f>(('Revenue_Build'!D15/'Revenue_Build'!C15)-1) + ('Financials'!C13/'Financials'!C5)</f>
        <v/>
      </c>
    </row>
    <row r="9">
      <c r="B9" t="inlineStr">
        <is>
          <t>Implied Valuation (10x ARR)</t>
        </is>
      </c>
      <c r="C9" s="20">
        <f>'Dashboard'!C6*10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10" customHeight="1"/>
    <row r="2">
      <c r="B2" s="5" t="inlineStr">
        <is>
          <t>SENSITIVITY ANALYSIS: VALUATION ($M)</t>
        </is>
      </c>
    </row>
    <row r="3">
      <c r="B3" s="6" t="n"/>
      <c r="C3" s="6" t="n"/>
      <c r="D3" s="6" t="n"/>
      <c r="E3" s="6" t="n"/>
      <c r="F3" s="6" t="n"/>
      <c r="G3" s="6" t="n"/>
    </row>
    <row r="5">
      <c r="B5" s="3" t="inlineStr">
        <is>
          <t>Churn \ Growth</t>
        </is>
      </c>
      <c r="C5" s="23" t="n">
        <v>0.03</v>
      </c>
      <c r="D5" s="23" t="n">
        <v>0.04</v>
      </c>
      <c r="E5" s="23" t="n">
        <v>0.05</v>
      </c>
      <c r="F5" s="23" t="n">
        <v>0.06</v>
      </c>
      <c r="G5" s="23" t="n">
        <v>0.07000000000000001</v>
      </c>
    </row>
    <row r="6">
      <c r="B6" s="24" t="n">
        <v>0.01</v>
      </c>
      <c r="C6" s="25">
        <f>(Dashboard!$C$6 * (1 + C5 - $B6)^12 * 10) / 1000000</f>
        <v/>
      </c>
      <c r="D6" s="25">
        <f>(Dashboard!$C$6 * (1 + D5 - $B6)^12 * 10) / 1000000</f>
        <v/>
      </c>
      <c r="E6" s="25">
        <f>(Dashboard!$C$6 * (1 + E5 - $B6)^12 * 10) / 1000000</f>
        <v/>
      </c>
      <c r="F6" s="25">
        <f>(Dashboard!$C$6 * (1 + F5 - $B6)^12 * 10) / 1000000</f>
        <v/>
      </c>
      <c r="G6" s="25">
        <f>(Dashboard!$C$6 * (1 + G5 - $B6)^12 * 10) / 1000000</f>
        <v/>
      </c>
    </row>
    <row r="7">
      <c r="B7" s="24" t="n">
        <v>0.015</v>
      </c>
      <c r="C7" s="25">
        <f>(Dashboard!$C$6 * (1 + C5 - $B7)^12 * 10) / 1000000</f>
        <v/>
      </c>
      <c r="D7" s="25">
        <f>(Dashboard!$C$6 * (1 + D5 - $B7)^12 * 10) / 1000000</f>
        <v/>
      </c>
      <c r="E7" s="25">
        <f>(Dashboard!$C$6 * (1 + E5 - $B7)^12 * 10) / 1000000</f>
        <v/>
      </c>
      <c r="F7" s="25">
        <f>(Dashboard!$C$6 * (1 + F5 - $B7)^12 * 10) / 1000000</f>
        <v/>
      </c>
      <c r="G7" s="25">
        <f>(Dashboard!$C$6 * (1 + G5 - $B7)^12 * 10) / 1000000</f>
        <v/>
      </c>
    </row>
    <row r="8">
      <c r="B8" s="24" t="n">
        <v>0.02</v>
      </c>
      <c r="C8" s="25">
        <f>(Dashboard!$C$6 * (1 + C5 - $B8)^12 * 10) / 1000000</f>
        <v/>
      </c>
      <c r="D8" s="25">
        <f>(Dashboard!$C$6 * (1 + D5 - $B8)^12 * 10) / 1000000</f>
        <v/>
      </c>
      <c r="E8" s="25">
        <f>(Dashboard!$C$6 * (1 + E5 - $B8)^12 * 10) / 1000000</f>
        <v/>
      </c>
      <c r="F8" s="25">
        <f>(Dashboard!$C$6 * (1 + F5 - $B8)^12 * 10) / 1000000</f>
        <v/>
      </c>
      <c r="G8" s="25">
        <f>(Dashboard!$C$6 * (1 + G5 - $B8)^12 * 10) / 1000000</f>
        <v/>
      </c>
    </row>
    <row r="9">
      <c r="B9" s="24" t="n">
        <v>0.025</v>
      </c>
      <c r="C9" s="25">
        <f>(Dashboard!$C$6 * (1 + C5 - $B9)^12 * 10) / 1000000</f>
        <v/>
      </c>
      <c r="D9" s="25">
        <f>(Dashboard!$C$6 * (1 + D5 - $B9)^12 * 10) / 1000000</f>
        <v/>
      </c>
      <c r="E9" s="25">
        <f>(Dashboard!$C$6 * (1 + E5 - $B9)^12 * 10) / 1000000</f>
        <v/>
      </c>
      <c r="F9" s="25">
        <f>(Dashboard!$C$6 * (1 + F5 - $B9)^12 * 10) / 1000000</f>
        <v/>
      </c>
      <c r="G9" s="25">
        <f>(Dashboard!$C$6 * (1 + G5 - $B9)^12 * 10) / 1000000</f>
        <v/>
      </c>
    </row>
    <row r="10">
      <c r="B10" s="24" t="n">
        <v>0.03</v>
      </c>
      <c r="C10" s="25">
        <f>(Dashboard!$C$6 * (1 + C5 - $B10)^12 * 10) / 1000000</f>
        <v/>
      </c>
      <c r="D10" s="25">
        <f>(Dashboard!$C$6 * (1 + D5 - $B10)^12 * 10) / 1000000</f>
        <v/>
      </c>
      <c r="E10" s="25">
        <f>(Dashboard!$C$6 * (1 + E5 - $B10)^12 * 10) / 1000000</f>
        <v/>
      </c>
      <c r="F10" s="25">
        <f>(Dashboard!$C$6 * (1 + F5 - $B10)^12 * 10) / 1000000</f>
        <v/>
      </c>
      <c r="G10" s="25">
        <f>(Dashboard!$C$6 * (1 + G5 - $B10)^12 * 10) / 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2026-03-27T01:58:29Z</dcterms:created>
  <dcterms:modified xsi:type="dcterms:W3CDTF">2026-03-27T01:58:29Z</dcterms:modified>
</cp:coreProperties>
</file>